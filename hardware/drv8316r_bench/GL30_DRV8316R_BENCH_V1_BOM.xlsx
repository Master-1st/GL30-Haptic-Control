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17ef5aec1b46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_Full" sheetId="1" r:id="R4391df9c6fba4d97"/>
    <x:sheet xmlns:r="http://schemas.openxmlformats.org/officeDocument/2006/relationships" name="PartsBridge_Import" sheetId="2" r:id="R739ef32c495b4be6"/>
    <x:sheet xmlns:r="http://schemas.openxmlformats.org/officeDocument/2006/relationships" name="Manual_Footprints" sheetId="3" r:id="R9b6094f2fe934d30"/>
    <x:sheet xmlns:r="http://schemas.openxmlformats.org/officeDocument/2006/relationships" name="Selection_Notes" sheetId="4" r:id="Rdf6b2e04c8f44f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¥#,##0.00"/>
    <x:numFmt numFmtId="201" formatCode="0"/>
    <x:numFmt numFmtId="202" formatCode="¥0.0000"/>
  </x:numFmts>
  <x:fonts count="1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7F6000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sz val="11"/>
      <x:color rgb="FF0563C1"/>
      <x:name val="Carlito"/>
    </x:font>
    <x:font>
      <x:b/>
      <x:sz val="10"/>
      <x:color rgb="FFFFFFFF"/>
      <x:name val="Aptos"/>
    </x:font>
    <x:font>
      <x:i/>
      <x:sz val="10"/>
      <x:color rgb="FF17365D"/>
      <x:name val="Aptos"/>
    </x:font>
    <x:font>
      <x:b/>
      <x:sz val="10"/>
      <x:color rgb="FF17365D"/>
      <x:name val="Aptos"/>
    </x:font>
    <x:font>
      <x:b/>
      <x:sz val="10"/>
      <x:color rgb="FF7F6000"/>
      <x:name val="Aptos"/>
    </x:font>
    <x:font>
      <x:sz val="10"/>
      <x:name val="Aptos"/>
    </x:font>
    <x:font>
      <x:sz val="10"/>
      <x:color rgb="FF0563C1"/>
      <x:name val="Aptos"/>
    </x:font>
    <x:font>
      <x:b/>
      <x:sz val="16"/>
      <x:color rgb="FFFFFFF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</x:fills>
  <x:borders count="9"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200" fontId="5" fillId="6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201" fontId="0" fillId="0" borderId="2" xfId="0" applyNumberFormat="1" applyFont="1" applyFill="1" applyBorder="1"/>
    <x:xf numFmtId="202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1" fontId="0" fillId="0" borderId="7" xfId="0" applyNumberFormat="1" applyFont="1" applyFill="1" applyBorder="1"/>
    <x:xf numFmtId="202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201" fontId="0" fillId="0" borderId="2" xfId="0" applyNumberFormat="1" applyFont="1" applyFill="1" applyBorder="1" applyAlignment="1">
      <x:alignment wrapText="1"/>
    </x:xf>
    <x:xf numFmtId="202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201" fontId="0" fillId="0" borderId="7" xfId="0" applyNumberFormat="1" applyFont="1" applyFill="1" applyBorder="1" applyAlignment="1">
      <x:alignment wrapText="1"/>
    </x:xf>
    <x:xf numFmtId="202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201" fontId="0" fillId="0" borderId="7" xfId="0" applyNumberFormat="1" applyFont="1" applyFill="1" applyBorder="1" applyAlignment="1">
      <x:alignment vertical="top" wrapText="1"/>
    </x:xf>
    <x:xf numFmtId="202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201" fontId="0" fillId="4" borderId="0" xfId="0" applyNumberFormat="1" applyFont="1" applyFill="1" applyBorder="1" applyAlignment="1">
      <x:alignment vertical="top" wrapText="1"/>
    </x:xf>
    <x:xf numFmtId="202" fontId="0" fillId="4" borderId="0" xfId="0" applyNumberFormat="1" applyFont="1" applyFill="1" applyBorder="1" applyAlignment="1">
      <x:alignment vertical="top" wrapText="1"/>
    </x:xf>
    <x:xf numFmtId="0" fontId="6" fillId="4" borderId="5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201" fontId="0" fillId="4" borderId="7" xfId="0" applyNumberFormat="1" applyFont="1" applyFill="1" applyBorder="1" applyAlignment="1">
      <x:alignment vertical="top" wrapText="1"/>
    </x:xf>
    <x:xf numFmtId="202" fontId="0" fillId="4" borderId="7" xfId="0" applyNumberFormat="1" applyFont="1" applyFill="1" applyBorder="1" applyAlignment="1">
      <x:alignment vertical="top" wrapText="1"/>
    </x:xf>
    <x:xf numFmtId="0" fontId="6" fillId="4" borderId="8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horizontal="center" vertical="center"/>
    </x:xf>
    <x:xf numFmtId="0" fontId="8" fillId="3" borderId="0" xfId="0" applyNumberFormat="1" applyFont="1" applyFill="1" applyBorder="1" applyAlignment="1">
      <x:alignment horizontal="left" vertical="center" wrapText="1"/>
    </x:xf>
    <x:xf numFmtId="0" fontId="9" fillId="6" borderId="0" xfId="0" applyNumberFormat="1" applyFont="1" applyFill="1" applyBorder="1" applyAlignment="1">
      <x:alignment vertical="center" wrapText="1"/>
    </x:xf>
    <x:xf numFmtId="200" fontId="9" fillId="6" borderId="0" xfId="0" applyNumberFormat="1" applyFont="1" applyFill="1" applyBorder="1" applyAlignment="1">
      <x:alignment vertical="center" wrapText="1"/>
    </x:xf>
    <x:xf numFmtId="0" fontId="10" fillId="4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7" fillId="5" borderId="0" xfId="0" applyNumberFormat="1" applyFont="1" applyFill="1" applyBorder="1" applyAlignment="1">
      <x:alignment horizontal="center" vertical="center" wrapText="1"/>
    </x:xf>
    <x:xf numFmtId="0" fontId="11" fillId="0" borderId="1" xfId="0" applyNumberFormat="1" applyFont="1" applyFill="1" applyBorder="1" applyAlignment="1">
      <x:alignment vertical="top" wrapText="1"/>
    </x:xf>
    <x:xf numFmtId="0" fontId="11" fillId="0" borderId="2" xfId="0" applyNumberFormat="1" applyFont="1" applyFill="1" applyBorder="1" applyAlignment="1">
      <x:alignment vertical="top" wrapText="1"/>
    </x:xf>
    <x:xf numFmtId="201" fontId="11" fillId="0" borderId="2" xfId="0" applyNumberFormat="1" applyFont="1" applyFill="1" applyBorder="1" applyAlignment="1">
      <x:alignment vertical="top" wrapText="1"/>
    </x:xf>
    <x:xf numFmtId="202" fontId="11" fillId="0" borderId="2" xfId="0" applyNumberFormat="1" applyFont="1" applyFill="1" applyBorder="1" applyAlignment="1">
      <x:alignment vertical="top" wrapText="1"/>
    </x:xf>
    <x:xf numFmtId="0" fontId="12" fillId="0" borderId="3" xfId="0" applyNumberFormat="1" applyFont="1" applyFill="1" applyBorder="1" applyAlignment="1">
      <x:alignment vertical="top" wrapText="1"/>
    </x:xf>
    <x:xf numFmtId="0" fontId="11" fillId="0" borderId="4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 applyAlignment="1">
      <x:alignment vertical="top" wrapText="1"/>
    </x:xf>
    <x:xf numFmtId="201" fontId="11" fillId="0" borderId="0" xfId="0" applyNumberFormat="1" applyFont="1" applyFill="1" applyBorder="1" applyAlignment="1">
      <x:alignment vertical="top" wrapText="1"/>
    </x:xf>
    <x:xf numFmtId="202" fontId="11" fillId="0" borderId="0" xfId="0" applyNumberFormat="1" applyFont="1" applyFill="1" applyBorder="1" applyAlignment="1">
      <x:alignment vertical="top" wrapText="1"/>
    </x:xf>
    <x:xf numFmtId="0" fontId="12" fillId="0" borderId="5" xfId="0" applyNumberFormat="1" applyFont="1" applyFill="1" applyBorder="1" applyAlignment="1">
      <x:alignment vertical="top" wrapText="1"/>
    </x:xf>
    <x:xf numFmtId="0" fontId="11" fillId="4" borderId="4" xfId="0" applyNumberFormat="1" applyFont="1" applyFill="1" applyBorder="1" applyAlignment="1">
      <x:alignment vertical="top" wrapText="1"/>
    </x:xf>
    <x:xf numFmtId="0" fontId="11" fillId="4" borderId="0" xfId="0" applyNumberFormat="1" applyFont="1" applyFill="1" applyBorder="1" applyAlignment="1">
      <x:alignment vertical="top" wrapText="1"/>
    </x:xf>
    <x:xf numFmtId="201" fontId="11" fillId="4" borderId="0" xfId="0" applyNumberFormat="1" applyFont="1" applyFill="1" applyBorder="1" applyAlignment="1">
      <x:alignment vertical="top" wrapText="1"/>
    </x:xf>
    <x:xf numFmtId="202" fontId="11" fillId="4" borderId="0" xfId="0" applyNumberFormat="1" applyFont="1" applyFill="1" applyBorder="1" applyAlignment="1">
      <x:alignment vertical="top" wrapText="1"/>
    </x:xf>
    <x:xf numFmtId="0" fontId="12" fillId="4" borderId="5" xfId="0" applyNumberFormat="1" applyFont="1" applyFill="1" applyBorder="1" applyAlignment="1">
      <x:alignment vertical="top" wrapText="1"/>
    </x:xf>
    <x:xf numFmtId="0" fontId="11" fillId="4" borderId="6" xfId="0" applyNumberFormat="1" applyFont="1" applyFill="1" applyBorder="1" applyAlignment="1">
      <x:alignment vertical="top" wrapText="1"/>
    </x:xf>
    <x:xf numFmtId="0" fontId="11" fillId="4" borderId="7" xfId="0" applyNumberFormat="1" applyFont="1" applyFill="1" applyBorder="1" applyAlignment="1">
      <x:alignment vertical="top" wrapText="1"/>
    </x:xf>
    <x:xf numFmtId="201" fontId="11" fillId="4" borderId="7" xfId="0" applyNumberFormat="1" applyFont="1" applyFill="1" applyBorder="1" applyAlignment="1">
      <x:alignment vertical="top" wrapText="1"/>
    </x:xf>
    <x:xf numFmtId="202" fontId="11" fillId="4" borderId="7" xfId="0" applyNumberFormat="1" applyFont="1" applyFill="1" applyBorder="1" applyAlignment="1">
      <x:alignment vertical="top" wrapText="1"/>
    </x:xf>
    <x:xf numFmtId="0" fontId="12" fillId="4" borderId="8" xfId="0" applyNumberFormat="1" applyFont="1" applyFill="1" applyBorder="1" applyAlignment="1">
      <x:alignment vertical="top" wrapText="1"/>
    </x:xf>
    <x:xf numFmtId="0" fontId="13" fillId="2" borderId="0" xfId="0" applyNumberFormat="1" applyFont="1" applyFill="1" applyBorder="1" applyAlignment="1">
      <x:alignment horizontal="center" vertical="center"/>
    </x:xf>
    <x:xf numFmtId="0" fontId="11" fillId="0" borderId="3" xfId="0" applyNumberFormat="1" applyFont="1" applyFill="1" applyBorder="1" applyAlignment="1">
      <x:alignment vertical="top" wrapText="1"/>
    </x:xf>
    <x:xf numFmtId="0" fontId="11" fillId="0" borderId="5" xfId="0" applyNumberFormat="1" applyFont="1" applyFill="1" applyBorder="1" applyAlignment="1">
      <x:alignment vertical="top" wrapText="1"/>
    </x:xf>
    <x:xf numFmtId="0" fontId="11" fillId="0" borderId="6" xfId="0" applyNumberFormat="1" applyFont="1" applyFill="1" applyBorder="1" applyAlignment="1">
      <x:alignment vertical="top" wrapText="1"/>
    </x:xf>
    <x:xf numFmtId="0" fontId="11" fillId="0" borderId="7" xfId="0" applyNumberFormat="1" applyFont="1" applyFill="1" applyBorder="1" applyAlignment="1">
      <x:alignment vertical="top" wrapText="1"/>
    </x:xf>
    <x:xf numFmtId="0" fontId="11" fillId="0" borderId="8" xfId="0" applyNumberFormat="1" applyFont="1" applyFill="1" applyBorder="1" applyAlignment="1">
      <x:alignment vertical="top" wrapText="1"/>
    </x:xf>
    <x:xf numFmtId="0" fontId="12" fillId="0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006bf56ada46e6" /><Relationship Type="http://schemas.openxmlformats.org/officeDocument/2006/relationships/theme" Target="/xl/theme/theme1.xml" Id="Rcff8ba9f382b4261" /><Relationship Type="http://schemas.openxmlformats.org/officeDocument/2006/relationships/sharedStrings" Target="/xl/sharedStrings.xml" Id="Rfe45df488f794420" /><Relationship Type="http://schemas.openxmlformats.org/officeDocument/2006/relationships/worksheet" Target="/xl/worksheets/sheet1.xml" Id="R4391df9c6fba4d97" /><Relationship Type="http://schemas.openxmlformats.org/officeDocument/2006/relationships/worksheet" Target="/xl/worksheets/sheet2.xml" Id="R739ef32c495b4be6" /><Relationship Type="http://schemas.openxmlformats.org/officeDocument/2006/relationships/worksheet" Target="/xl/worksheets/sheet3.xml" Id="R9b6094f2fe934d30" /><Relationship Type="http://schemas.openxmlformats.org/officeDocument/2006/relationships/worksheet" Target="/xl/worksheets/sheet4.xml" Id="Rdf6b2e04c8f44ffe" /></Relationships>
</file>

<file path=xl/tables/table1.xml><?xml version="1.0" encoding="utf-8"?>
<x:table xmlns:x="http://schemas.openxmlformats.org/spreadsheetml/2006/main" id="1" name="GL30BOMTable" displayName="GL30BOMTable" ref="A6:S39" headerRowCount="1" totalsRowCount="0" totalsRowShown="0">
  <x:tableColumns count="19">
    <x:tableColumn id="1" name="Item"/>
    <x:tableColumn id="2" name="类别"/>
    <x:tableColumn id="3" name="位号"/>
    <x:tableColumn id="4" name="Qty/板"/>
    <x:tableColumn id="5" name="建议采购数"/>
    <x:tableColumn id="6" name="Value/功能"/>
    <x:tableColumn id="7" name="制造商"/>
    <x:tableColumn id="8" name="MPN"/>
    <x:tableColumn id="9" name="LCSC"/>
    <x:tableColumn id="10" name="封装"/>
    <x:tableColumn id="11" name="关键规格"/>
    <x:tableColumn id="12" name="装配"/>
    <x:tableColumn id="13" name="库存快照"/>
    <x:tableColumn id="14" name="单价 CNY"/>
    <x:tableColumn id="15" name="Line CNY"/>
    <x:tableColumn id="16" name="导入"/>
    <x:tableColumn id="17" name="校验状态"/>
    <x:tableColumn id="18" name="备注"/>
    <x:tableColumn id="19" name="商品链接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rtsBridgeImportTable" displayName="PartsBridgeImportTable" ref="A4:F33" headerRowCount="1" totalsRowCount="0" totalsRowShown="0">
  <x:tableColumns count="6">
    <x:tableColumn id="1" name="lcsc"/>
    <x:tableColumn id="2" name="MPN"/>
    <x:tableColumn id="3" name="制造商"/>
    <x:tableColumn id="4" name="封装"/>
    <x:tableColumn id="5" name="使用位号"/>
    <x:tableColumn id="6" name="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nualFootprintsTable" displayName="ManualFootprintsTable" ref="A4:H47" headerRowCount="1" totalsRowCount="0" totalsRowShown="0">
  <x:tableColumns count="8">
    <x:tableColumn id="1" name="类型"/>
    <x:tableColumn id="2" name="位号"/>
    <x:tableColumn id="3" name="网名/用途"/>
    <x:tableColumn id="4" name="Qty"/>
    <x:tableColumn id="5" name="建议封装名"/>
    <x:tableColumn id="6" name="几何参数"/>
    <x:tableColumn id="7" name="装配方法"/>
    <x:tableColumn id="8" name="说明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SelectionNotesTable" displayName="SelectionNotesTable" ref="A4:E17" headerRowCount="1" totalsRowCount="0" totalsRowShown="0">
  <x:tableColumns count="5">
    <x:tableColumn id="1" name="主题"/>
    <x:tableColumn id="2" name="已冻结决定"/>
    <x:tableColumn id="3" name="理由/证据"/>
    <x:tableColumn id="4" name="你在 AD/采购时要做什么"/>
    <x:tableColumn id="5" name="依据/链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6921d283347493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1d3c0f6c0b1427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358ff3b3bfe4fe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11903fe42074530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2" hidden="0" customWidth="1"/>
    <x:col min="4" max="4" width="9" hidden="0" customWidth="1"/>
    <x:col min="5" max="5" width="11" hidden="0" customWidth="1"/>
    <x:col min="6" max="6" width="25" hidden="0" customWidth="1"/>
    <x:col min="7" max="7" width="18" hidden="0" customWidth="1"/>
    <x:col min="8" max="8" width="25" hidden="0" customWidth="1"/>
    <x:col min="9" max="9" width="13" hidden="0" customWidth="1"/>
    <x:col min="10" max="10" width="21" hidden="0" customWidth="1"/>
    <x:col min="11" max="11" width="27" hidden="0" customWidth="1"/>
    <x:col min="12" max="12" width="13" hidden="0" customWidth="1"/>
    <x:col min="13" max="13" width="12" hidden="0" customWidth="1"/>
    <x:col min="14" max="14" width="12" hidden="0" customWidth="1"/>
    <x:col min="15" max="15" width="12" hidden="0" customWidth="1"/>
    <x:col min="16" max="16" width="9" hidden="0" customWidth="1"/>
    <x:col min="17" max="17" width="22" hidden="0" customWidth="1"/>
    <x:col min="18" max="18" width="42" hidden="0" customWidth="1"/>
    <x:col min="19" max="19" width="32" hidden="0" customWidth="1"/>
  </x:cols>
  <x:sheetData>
    <x:row r="1" ht="30" customHeight="1">
      <x:c r="A1" s="109" t="str">
        <x:v>GL30 DRV8316R 验证子板 V1 — 完整 BOM / PartsBridge AD 选料表</x:v>
      </x:c>
      <x:c r="B1" s="109"/>
      <x:c r="C1" s="109"/>
      <x:c r="D1" s="109"/>
      <x:c r="E1" s="109"/>
      <x:c r="F1" s="109"/>
      <x:c r="G1" s="109"/>
      <x:c r="H1" s="109"/>
      <x:c r="I1" s="109"/>
      <x:c r="J1" s="109"/>
      <x:c r="K1" s="109"/>
      <x:c r="L1" s="109"/>
      <x:c r="M1" s="109"/>
      <x:c r="N1" s="109"/>
      <x:c r="O1" s="109"/>
      <x:c r="P1" s="109"/>
      <x:c r="Q1" s="109"/>
      <x:c r="R1" s="109"/>
      <x:c r="S1" s="109"/>
    </x:row>
    <x:row r="2">
      <x:c r="A2" s="83" t="str">
        <x:v>工程：GL30_DRV8316R_BENCH_V1 ｜ PartsBridge：0.3.7 ｜ 价格/库存快照：2026-08-30 ｜ 币种：CNY</x:v>
      </x:c>
      <x:c r="B2" s="83"/>
      <x:c r="C2" s="83"/>
      <x:c r="D2" s="83"/>
      <x:c r="E2" s="83"/>
      <x:c r="F2" s="83"/>
      <x:c r="G2" s="83"/>
      <x:c r="H2" s="83"/>
      <x:c r="I2" s="83"/>
      <x:c r="J2" s="83"/>
      <x:c r="K2" s="83"/>
      <x:c r="L2" s="83"/>
      <x:c r="M2" s="83"/>
      <x:c r="N2" s="83"/>
      <x:c r="O2" s="83"/>
      <x:c r="P2" s="83"/>
      <x:c r="Q2" s="83"/>
      <x:c r="R2" s="83"/>
      <x:c r="S2" s="83"/>
    </x:row>
    <x:row r="3">
      <x:c r="A3" s="84" t="str">
        <x:v>总位号数(含TP/孔)</x:v>
      </x:c>
      <x:c r="B3" s="84" t="n">
        <x:f>SUM(D7:D39)</x:f>
        <x:v>119</x:v>
      </x:c>
      <x:c r="C3" s="84" t="str">
        <x:v>导入唯一C号</x:v>
      </x:c>
      <x:c r="D3" s="84" t="n">
        <x:f>COUNTA(PartsBridge_Import!A5:A33)</x:f>
        <x:v>29</x:v>
      </x:c>
      <x:c r="E3" s="84" t="str">
        <x:v>1板物料估算</x:v>
      </x:c>
      <x:c r="F3" s="85" t="n">
        <x:f>ROUND(SUM(O7:O39),4)</x:f>
        <x:v>79.8498</x:v>
      </x:c>
      <x:c r="G3" s="84" t="str">
        <x:v>导入文件</x:v>
      </x:c>
      <x:c r="H3" s="84" t="str">
        <x:v>*_PartsBridge_Import.csv</x:v>
      </x:c>
      <x:c r="I3" s="84"/>
      <x:c r="J3" s="84" t="str">
        <x:v>4层 / 1.6 mm</x:v>
      </x:c>
      <x:c r="K3" s="84"/>
      <x:c r="L3" s="84" t="str">
        <x:v>70 × 55 mm</x:v>
      </x:c>
      <x:c r="M3" s="84"/>
      <x:c r="N3" s="84" t="str">
        <x:v>本板不包含</x:v>
      </x:c>
      <x:c r="O3" s="84"/>
      <x:c r="P3" s="84" t="str">
        <x:v>C号/规格/CSV/临时库</x:v>
      </x:c>
      <x:c r="Q3" s="84"/>
      <x:c r="R3" s="84"/>
      <x:c r="S3" s="84"/>
    </x:row>
    <x:row r="4">
      <x:c r="A4" s="86" t="str">
        <x:v>注意：PartsBridge 只负责把确认后的 C 号追加到 Altium 原生库；U1/U2/U3、保险丝、极性器件和连接器仍必须按厂家数据手册在 AD 中做最终引脚/封装/方向复核。</x:v>
      </x:c>
      <x:c r="B4" s="86"/>
      <x:c r="C4" s="86"/>
      <x:c r="D4" s="86"/>
      <x:c r="E4" s="86"/>
      <x:c r="F4" s="86"/>
      <x:c r="G4" s="86"/>
      <x:c r="H4" s="86"/>
      <x:c r="I4" s="86"/>
      <x:c r="J4" s="86"/>
      <x:c r="K4" s="86"/>
      <x:c r="L4" s="86"/>
      <x:c r="M4" s="86"/>
      <x:c r="N4" s="86"/>
      <x:c r="O4" s="86"/>
      <x:c r="P4" s="86"/>
      <x:c r="Q4" s="86"/>
      <x:c r="R4" s="86"/>
      <x:c r="S4" s="86"/>
    </x:row>
    <x:row r="5">
      <x:c r="A5" s="87"/>
      <x:c r="B5" s="87"/>
      <x:c r="C5" s="87"/>
      <x:c r="D5" s="87"/>
      <x:c r="E5" s="87"/>
      <x:c r="F5" s="87"/>
      <x:c r="G5" s="87"/>
      <x:c r="H5" s="87"/>
      <x:c r="I5" s="87"/>
      <x:c r="J5" s="87"/>
      <x:c r="K5" s="87"/>
      <x:c r="L5" s="87"/>
      <x:c r="M5" s="87"/>
      <x:c r="N5" s="87"/>
      <x:c r="O5" s="87"/>
      <x:c r="P5" s="87"/>
      <x:c r="Q5" s="87"/>
      <x:c r="R5" s="87"/>
      <x:c r="S5" s="87"/>
    </x:row>
    <x:row r="6">
      <x:c r="A6" s="88" t="str">
        <x:v>Item</x:v>
      </x:c>
      <x:c r="B6" s="88" t="str">
        <x:v>类别</x:v>
      </x:c>
      <x:c r="C6" s="88" t="str">
        <x:v>位号</x:v>
      </x:c>
      <x:c r="D6" s="88" t="str">
        <x:v>Qty/板</x:v>
      </x:c>
      <x:c r="E6" s="88" t="str">
        <x:v>建议采购数</x:v>
      </x:c>
      <x:c r="F6" s="88" t="str">
        <x:v>Value/功能</x:v>
      </x:c>
      <x:c r="G6" s="88" t="str">
        <x:v>制造商</x:v>
      </x:c>
      <x:c r="H6" s="88" t="str">
        <x:v>MPN</x:v>
      </x:c>
      <x:c r="I6" s="88" t="str">
        <x:v>LCSC</x:v>
      </x:c>
      <x:c r="J6" s="88" t="str">
        <x:v>封装</x:v>
      </x:c>
      <x:c r="K6" s="88" t="str">
        <x:v>关键规格</x:v>
      </x:c>
      <x:c r="L6" s="88" t="str">
        <x:v>装配</x:v>
      </x:c>
      <x:c r="M6" s="88" t="str">
        <x:v>库存快照</x:v>
      </x:c>
      <x:c r="N6" s="88" t="str">
        <x:v>单价 CNY</x:v>
      </x:c>
      <x:c r="O6" s="88" t="str">
        <x:v>Line CNY</x:v>
      </x:c>
      <x:c r="P6" s="88" t="str">
        <x:v>导入</x:v>
      </x:c>
      <x:c r="Q6" s="88" t="str">
        <x:v>校验状态</x:v>
      </x:c>
      <x:c r="R6" s="88" t="str">
        <x:v>备注</x:v>
      </x:c>
      <x:c r="S6" s="88" t="str">
        <x:v>商品链接</x:v>
      </x:c>
    </x:row>
    <x:row r="7">
      <x:c r="A7" s="89" t="n">
        <x:v>1</x:v>
      </x:c>
      <x:c r="B7" s="90" t="str">
        <x:v>驱动器</x:v>
      </x:c>
      <x:c r="C7" s="90" t="str">
        <x:v>U1</x:v>
      </x:c>
      <x:c r="D7" s="90" t="n">
        <x:v>1</x:v>
      </x:c>
      <x:c r="E7" s="90" t="n">
        <x:v>2</x:v>
      </x:c>
      <x:c r="F7" s="90" t="str">
        <x:v>三相集成 FET 电机驱动器</x:v>
      </x:c>
      <x:c r="G7" s="90" t="str">
        <x:v>Texas Instruments</x:v>
      </x:c>
      <x:c r="H7" s="90" t="str">
        <x:v>DRV8316RRGFR</x:v>
      </x:c>
      <x:c r="I7" s="90" t="str">
        <x:v>C5218861</x:v>
      </x:c>
      <x:c r="J7" s="90" t="str">
        <x:v>VQFN-40 5x7 mm, EP</x:v>
      </x:c>
      <x:c r="K7" s="90" t="str">
        <x:v>40 V max；SPI；集成 CSA</x:v>
      </x:c>
      <x:c r="L7" s="90" t="str">
        <x:v>SMT/热焊盘</x:v>
      </x:c>
      <x:c r="M7" s="91" t="n">
        <x:v>337</x:v>
      </x:c>
      <x:c r="N7" s="92" t="n">
        <x:v>27.95</x:v>
      </x:c>
      <x:c r="O7" s="92" t="n">
        <x:f>ROUND(D7*N7,4)</x:f>
        <x:v>27.95</x:v>
      </x:c>
      <x:c r="P7" s="90" t="str">
        <x:v>YES</x:v>
      </x:c>
      <x:c r="Q7" s="90" t="str">
        <x:v>精确 C 号；TI RGF-40</x:v>
      </x:c>
      <x:c r="R7" s="90" t="str">
        <x:v>中心 41 脚为 AGND/热焊盘；逐项核引脚与钢网窗。</x:v>
      </x:c>
      <x:c r="S7" s="93" t="str">
        <x:v>https://www.lcsc.com/product-detail/C5218861.html</x:v>
      </x:c>
    </x:row>
    <x:row r="8">
      <x:c r="A8" s="94" t="n">
        <x:v>2</x:v>
      </x:c>
      <x:c r="B8" s="95" t="str">
        <x:v>比较器</x:v>
      </x:c>
      <x:c r="C8" s="95" t="str">
        <x:v>U2,U3</x:v>
      </x:c>
      <x:c r="D8" s="95" t="n">
        <x:v>2</x:v>
      </x:c>
      <x:c r="E8" s="95" t="n">
        <x:v>3</x:v>
      </x:c>
      <x:c r="F8" s="95" t="str">
        <x:v>四路高压开漏比较器</x:v>
      </x:c>
      <x:c r="G8" s="95" t="str">
        <x:v>Texas Instruments</x:v>
      </x:c>
      <x:c r="H8" s="95" t="str">
        <x:v>TLV1704AIPWR</x:v>
      </x:c>
      <x:c r="I8" s="95" t="str">
        <x:v>C181596</x:v>
      </x:c>
      <x:c r="J8" s="95" t="str">
        <x:v>TSSOP-14 (PW)</x:v>
      </x:c>
      <x:c r="K8" s="95" t="str">
        <x:v>2.2–36 V；560 ns typ</x:v>
      </x:c>
      <x:c r="L8" s="95" t="str">
        <x:v>SMT</x:v>
      </x:c>
      <x:c r="M8" s="96" t="n">
        <x:v>187</x:v>
      </x:c>
      <x:c r="N8" s="97" t="n">
        <x:v>14.15</x:v>
      </x:c>
      <x:c r="O8" s="97" t="n">
        <x:f>ROUND(D8*N8,4)</x:f>
        <x:v>28.3</x:v>
      </x:c>
      <x:c r="P8" s="95" t="str">
        <x:v>YES</x:v>
      </x:c>
      <x:c r="Q8" s="95" t="str">
        <x:v>精确 C 号；TI PW-14</x:v>
      </x:c>
      <x:c r="R8" s="95" t="str">
        <x:v>PWR 仅为卷带后缀；与图纸 TLV1704AIPW 电气和封装一致。</x:v>
      </x:c>
      <x:c r="S8" s="98" t="str">
        <x:v>https://www.lcsc.com/product-detail/C181596.html</x:v>
      </x:c>
    </x:row>
    <x:row r="9">
      <x:c r="A9" s="94" t="n">
        <x:v>3</x:v>
      </x:c>
      <x:c r="B9" s="95" t="str">
        <x:v>保护</x:v>
      </x:c>
      <x:c r="C9" s="95" t="str">
        <x:v>F1</x:v>
      </x:c>
      <x:c r="D9" s="95" t="n">
        <x:v>1</x:v>
      </x:c>
      <x:c r="E9" s="95" t="n">
        <x:v>3</x:v>
      </x:c>
      <x:c r="F9" s="95" t="str">
        <x:v>3 A 延时保险丝</x:v>
      </x:c>
      <x:c r="G9" s="95" t="str">
        <x:v>Littelfuse</x:v>
      </x:c>
      <x:c r="H9" s="95" t="str">
        <x:v>0454003.MR</x:v>
      </x:c>
      <x:c r="I9" s="95" t="str">
        <x:v>C142863</x:v>
      </x:c>
      <x:c r="J9" s="95" t="str">
        <x:v>2410 / 6125</x:v>
      </x:c>
      <x:c r="K9" s="95" t="str">
        <x:v>Slo-Blo；125 V；I²t=20.16 A²s</x:v>
      </x:c>
      <x:c r="L9" s="95" t="str">
        <x:v>SMT</x:v>
      </x:c>
      <x:c r="M9" s="96" t="n">
        <x:v>337</x:v>
      </x:c>
      <x:c r="N9" s="97" t="n">
        <x:v>2.7964</x:v>
      </x:c>
      <x:c r="O9" s="97" t="n">
        <x:f>ROUND(D9*N9,4)</x:f>
        <x:v>2.7964</x:v>
      </x:c>
      <x:c r="P9" s="95" t="str">
        <x:v>YES</x:v>
      </x:c>
      <x:c r="Q9" s="95" t="str">
        <x:v>官方 452/454 曲线已核</x:v>
      </x:c>
      <x:c r="R9" s="95" t="str">
        <x:v>替代已排除的快断 0453003.MR；首次上电仍需限流缓升。</x:v>
      </x:c>
      <x:c r="S9" s="98" t="str">
        <x:v>https://www.lcsc.com/product-detail/C142863.html</x:v>
      </x:c>
    </x:row>
    <x:row r="10">
      <x:c r="A10" s="94" t="n">
        <x:v>4</x:v>
      </x:c>
      <x:c r="B10" s="95" t="str">
        <x:v>保护</x:v>
      </x:c>
      <x:c r="C10" s="95" t="str">
        <x:v>D1</x:v>
      </x:c>
      <x:c r="D10" s="95" t="n">
        <x:v>1</x:v>
      </x:c>
      <x:c r="E10" s="95" t="n">
        <x:v>3</x:v>
      </x:c>
      <x:c r="F10" s="95" t="str">
        <x:v>串联肖特基二极管</x:v>
      </x:c>
      <x:c r="G10" s="95" t="str">
        <x:v>MDD</x:v>
      </x:c>
      <x:c r="H10" s="95" t="str">
        <x:v>SS56B</x:v>
      </x:c>
      <x:c r="I10" s="95" t="str">
        <x:v>C14651</x:v>
      </x:c>
      <x:c r="J10" s="95" t="str">
        <x:v>SMB / DO-214AA</x:v>
      </x:c>
      <x:c r="K10" s="95" t="str">
        <x:v>60 V；5 A；Vf≤0.7 V@5 A</x:v>
      </x:c>
      <x:c r="L10" s="95" t="str">
        <x:v>SMT/散热铜</x:v>
      </x:c>
      <x:c r="M10" s="96" t="n">
        <x:v>12373</x:v>
      </x:c>
      <x:c r="N10" s="97" t="n">
        <x:v>0.5214</x:v>
      </x:c>
      <x:c r="O10" s="97" t="n">
        <x:f>ROUND(D10*N10,4)</x:f>
        <x:v>0.5214</x:v>
      </x:c>
      <x:c r="P10" s="95" t="str">
        <x:v>YES</x:v>
      </x:c>
      <x:c r="Q10" s="95" t="str">
        <x:v>精确 C 号；规格匹配</x:v>
      </x:c>
      <x:c r="R10" s="95" t="str">
        <x:v>正向朝 VM；2 A 时必须实测温升与压降。</x:v>
      </x:c>
      <x:c r="S10" s="98" t="str">
        <x:v>https://www.lcsc.com/product-detail/C14651.html</x:v>
      </x:c>
    </x:row>
    <x:row r="11">
      <x:c r="A11" s="94" t="n">
        <x:v>5</x:v>
      </x:c>
      <x:c r="B11" s="95" t="str">
        <x:v>保护</x:v>
      </x:c>
      <x:c r="C11" s="95" t="str">
        <x:v>D2</x:v>
      </x:c>
      <x:c r="D11" s="95" t="n">
        <x:v>1</x:v>
      </x:c>
      <x:c r="E11" s="95" t="n">
        <x:v>3</x:v>
      </x:c>
      <x:c r="F11" s="95" t="str">
        <x:v>单向 TVS</x:v>
      </x:c>
      <x:c r="G11" s="95" t="str">
        <x:v>Littelfuse</x:v>
      </x:c>
      <x:c r="H11" s="95" t="str">
        <x:v>SMBJ18A</x:v>
      </x:c>
      <x:c r="I11" s="95" t="str">
        <x:v>C151256</x:v>
      </x:c>
      <x:c r="J11" s="95" t="str">
        <x:v>SMB / DO-214AA</x:v>
      </x:c>
      <x:c r="K11" s="95" t="str">
        <x:v>18 V standoff；单向</x:v>
      </x:c>
      <x:c r="L11" s="95" t="str">
        <x:v>SMT</x:v>
      </x:c>
      <x:c r="M11" s="96" t="n">
        <x:v>1282</x:v>
      </x:c>
      <x:c r="N11" s="97" t="n">
        <x:v>0.8972</x:v>
      </x:c>
      <x:c r="O11" s="97" t="n">
        <x:f>ROUND(D11*N11,4)</x:f>
        <x:v>0.8972</x:v>
      </x:c>
      <x:c r="P11" s="95" t="str">
        <x:v>YES</x:v>
      </x:c>
      <x:c r="Q11" s="95" t="str">
        <x:v>精确 C 号；规格匹配</x:v>
      </x:c>
      <x:c r="R11" s="95" t="str">
        <x:v>阴极接 VM、阳极接 GND；不承担持续再生制动。</x:v>
      </x:c>
      <x:c r="S11" s="98" t="str">
        <x:v>https://www.lcsc.com/product-detail/C151256.html</x:v>
      </x:c>
    </x:row>
    <x:row r="12">
      <x:c r="A12" s="94" t="n">
        <x:v>6</x:v>
      </x:c>
      <x:c r="B12" s="95" t="str">
        <x:v>连接器</x:v>
      </x:c>
      <x:c r="C12" s="95" t="str">
        <x:v>J1 (J_PWR)</x:v>
      </x:c>
      <x:c r="D12" s="95" t="n">
        <x:v>1</x:v>
      </x:c>
      <x:c r="E12" s="95" t="n">
        <x:v>2</x:v>
      </x:c>
      <x:c r="F12" s="95" t="str">
        <x:v>2Pin 电源螺钉端子</x:v>
      </x:c>
      <x:c r="G12" s="95" t="str">
        <x:v>KEFA</x:v>
      </x:c>
      <x:c r="H12" s="95" t="str">
        <x:v>KF128-5.08-2P-AA</x:v>
      </x:c>
      <x:c r="I12" s="95" t="str">
        <x:v>C474952</x:v>
      </x:c>
      <x:c r="J12" s="95" t="str">
        <x:v>THT, P=5.08 mm</x:v>
      </x:c>
      <x:c r="K12" s="95" t="str">
        <x:v>24 A；250 V；AWG12–22</x:v>
      </x:c>
      <x:c r="L12" s="95" t="str">
        <x:v>THT</x:v>
      </x:c>
      <x:c r="M12" s="96" t="n">
        <x:v>7589</x:v>
      </x:c>
      <x:c r="N12" s="97" t="n">
        <x:v>1.1771</x:v>
      </x:c>
      <x:c r="O12" s="97" t="n">
        <x:f>ROUND(D12*N12,4)</x:f>
        <x:v>1.1771</x:v>
      </x:c>
      <x:c r="P12" s="95" t="str">
        <x:v>YES</x:v>
      </x:c>
      <x:c r="Q12" s="95" t="str">
        <x:v>精确 5.08 mm</x:v>
      </x:c>
      <x:c r="R12" s="95" t="str">
        <x:v>板边放置；正反面标 VM_RAW+/GND。</x:v>
      </x:c>
      <x:c r="S12" s="98" t="str">
        <x:v>https://www.lcsc.com/product-detail/C474952.html</x:v>
      </x:c>
    </x:row>
    <x:row r="13">
      <x:c r="A13" s="94" t="n">
        <x:v>7</x:v>
      </x:c>
      <x:c r="B13" s="95" t="str">
        <x:v>连接器</x:v>
      </x:c>
      <x:c r="C13" s="95" t="str">
        <x:v>J2 (J_MOTOR)</x:v>
      </x:c>
      <x:c r="D13" s="95" t="n">
        <x:v>1</x:v>
      </x:c>
      <x:c r="E13" s="95" t="n">
        <x:v>2</x:v>
      </x:c>
      <x:c r="F13" s="95" t="str">
        <x:v>3Pin 电机螺钉端子</x:v>
      </x:c>
      <x:c r="G13" s="95" t="str">
        <x:v>KEFA</x:v>
      </x:c>
      <x:c r="H13" s="95" t="str">
        <x:v>KF128-5.08-3P-AA</x:v>
      </x:c>
      <x:c r="I13" s="95" t="str">
        <x:v>C474953</x:v>
      </x:c>
      <x:c r="J13" s="95" t="str">
        <x:v>THT, P=5.08 mm</x:v>
      </x:c>
      <x:c r="K13" s="95" t="str">
        <x:v>24 A；250 V；AWG12–22</x:v>
      </x:c>
      <x:c r="L13" s="95" t="str">
        <x:v>THT</x:v>
      </x:c>
      <x:c r="M13" s="96" t="n">
        <x:v>2997</x:v>
      </x:c>
      <x:c r="N13" s="97" t="n">
        <x:v>1.8769</x:v>
      </x:c>
      <x:c r="O13" s="97" t="n">
        <x:f>ROUND(D13*N13,4)</x:f>
        <x:v>1.8769</x:v>
      </x:c>
      <x:c r="P13" s="95" t="str">
        <x:v>YES</x:v>
      </x:c>
      <x:c r="Q13" s="95" t="str">
        <x:v>精确 5.08 mm</x:v>
      </x:c>
      <x:c r="R13" s="95" t="str">
        <x:v>板边放置；标 A/B/C。</x:v>
      </x:c>
      <x:c r="S13" s="98" t="str">
        <x:v>https://www.lcsc.com/product-detail/C474953.html</x:v>
      </x:c>
    </x:row>
    <x:row r="14">
      <x:c r="A14" s="94" t="n">
        <x:v>8</x:v>
      </x:c>
      <x:c r="B14" s="95" t="str">
        <x:v>连接器</x:v>
      </x:c>
      <x:c r="C14" s="95" t="str">
        <x:v>J3 (J_CTRL)</x:v>
      </x:c>
      <x:c r="D14" s="95" t="n">
        <x:v>1</x:v>
      </x:c>
      <x:c r="E14" s="95" t="n">
        <x:v>2</x:v>
      </x:c>
      <x:c r="F14" s="95" t="str">
        <x:v>2×10 简牛座/控制头</x:v>
      </x:c>
      <x:c r="G14" s="95" t="str">
        <x:v>LAILAN</x:v>
      </x:c>
      <x:c r="H14" s="95" t="str">
        <x:v>LAIL-SI-2.54-2X10P-ZC</x:v>
      </x:c>
      <x:c r="I14" s="95" t="str">
        <x:v>C55118382</x:v>
      </x:c>
      <x:c r="J14" s="95" t="str">
        <x:v>THT, 2×10, P=2.54 mm</x:v>
      </x:c>
      <x:c r="K14" s="95" t="str">
        <x:v>3 A；直插；带防呆框</x:v>
      </x:c>
      <x:c r="L14" s="95" t="str">
        <x:v>THT</x:v>
      </x:c>
      <x:c r="M14" s="96" t="n">
        <x:v>113</x:v>
      </x:c>
      <x:c r="N14" s="97" t="n">
        <x:v>1.3836</x:v>
      </x:c>
      <x:c r="O14" s="97" t="n">
        <x:f>ROUND(D14*N14,4)</x:f>
        <x:v>1.3836</x:v>
      </x:c>
      <x:c r="P14" s="95" t="str">
        <x:v>YES</x:v>
      </x:c>
      <x:c r="Q14" s="95" t="str">
        <x:v>规格与 20Pin 定义匹配</x:v>
      </x:c>
      <x:c r="R14" s="95" t="str">
        <x:v>引脚必须与 CONTROL_HEADER_PINOUT.csv 一一核对；下单前再看 1 脚方向。</x:v>
      </x:c>
      <x:c r="S14" s="98" t="str">
        <x:v>https://www.lcsc.com/product-detail/C55118382.html</x:v>
      </x:c>
    </x:row>
    <x:row r="15">
      <x:c r="A15" s="99" t="n">
        <x:v>9</x:v>
      </x:c>
      <x:c r="B15" s="100" t="str">
        <x:v>电容</x:v>
      </x:c>
      <x:c r="C15" s="100" t="str">
        <x:v>C1</x:v>
      </x:c>
      <x:c r="D15" s="100" t="n">
        <x:v>1</x:v>
      </x:c>
      <x:c r="E15" s="100" t="n">
        <x:v>2</x:v>
      </x:c>
      <x:c r="F15" s="100" t="str">
        <x:v>470 µF / 50 V 电解</x:v>
      </x:c>
      <x:c r="G15" s="100" t="str">
        <x:v>Panasonic</x:v>
      </x:c>
      <x:c r="H15" s="100" t="str">
        <x:v>EEUFR1H471</x:v>
      </x:c>
      <x:c r="I15" s="100" t="str">
        <x:v>C178708</x:v>
      </x:c>
      <x:c r="J15" s="100" t="str">
        <x:v>Radial D12.5×L20 mm, P=5.0 mm</x:v>
      </x:c>
      <x:c r="K15" s="100" t="str">
        <x:v>22 mΩ；2.26 A@100 kHz</x:v>
      </x:c>
      <x:c r="L15" s="100" t="str">
        <x:v>THT/人工封装</x:v>
      </x:c>
      <x:c r="M15" s="101" t="n">
        <x:v>6460</x:v>
      </x:c>
      <x:c r="N15" s="102" t="n">
        <x:v>4.96</x:v>
      </x:c>
      <x:c r="O15" s="102" t="n">
        <x:f>ROUND(D15*N15,4)</x:f>
        <x:v>4.96</x:v>
      </x:c>
      <x:c r="P15" s="100" t="str">
        <x:v>NO</x:v>
      </x:c>
      <x:c r="Q15" s="100" t="str">
        <x:v>采购 C 号已核；源 CAD 畸形</x:v>
      </x:c>
      <x:c r="R15" s="100" t="str">
        <x:v>不进默认导入 CSV；按 Panasonic 官方 D12.5/P5.0/引线Ø0.6 mm 手建封装。</x:v>
      </x:c>
      <x:c r="S15" s="103" t="str">
        <x:v>https://www.lcsc.com/product-detail/C178708.html</x:v>
      </x:c>
    </x:row>
    <x:row r="16">
      <x:c r="A16" s="94" t="n">
        <x:v>10</x:v>
      </x:c>
      <x:c r="B16" s="95" t="str">
        <x:v>电容</x:v>
      </x:c>
      <x:c r="C16" s="95" t="str">
        <x:v>C2</x:v>
      </x:c>
      <x:c r="D16" s="95" t="n">
        <x:v>1</x:v>
      </x:c>
      <x:c r="E16" s="95" t="n">
        <x:v>3</x:v>
      </x:c>
      <x:c r="F16" s="95" t="str">
        <x:v>10 µF / 50 V X7R</x:v>
      </x:c>
      <x:c r="G16" s="95" t="str">
        <x:v>Murata</x:v>
      </x:c>
      <x:c r="H16" s="95" t="str">
        <x:v>GRM32ER71H106KA12L</x:v>
      </x:c>
      <x:c r="I16" s="95" t="str">
        <x:v>C77102</x:v>
      </x:c>
      <x:c r="J16" s="95" t="str">
        <x:v>1210</x:v>
      </x:c>
      <x:c r="K16" s="95" t="str">
        <x:v>±10%；50 V；X7R</x:v>
      </x:c>
      <x:c r="L16" s="95" t="str">
        <x:v>SMT</x:v>
      </x:c>
      <x:c r="M16" s="96" t="n">
        <x:v>13879</x:v>
      </x:c>
      <x:c r="N16" s="97" t="n">
        <x:v>2.0158</x:v>
      </x:c>
      <x:c r="O16" s="97" t="n">
        <x:f>ROUND(D16*N16,4)</x:f>
        <x:v>2.0158</x:v>
      </x:c>
      <x:c r="P16" s="95" t="str">
        <x:v>YES</x:v>
      </x:c>
      <x:c r="Q16" s="95" t="str">
        <x:v>精确 C 号；规格匹配</x:v>
      </x:c>
      <x:c r="R16" s="95" t="str">
        <x:v>VM 陶瓷 bulk；注意直流偏压降容。</x:v>
      </x:c>
      <x:c r="S16" s="98" t="str">
        <x:v>https://www.lcsc.com/product-detail/C77102.html</x:v>
      </x:c>
    </x:row>
    <x:row r="17">
      <x:c r="A17" s="94" t="n">
        <x:v>11</x:v>
      </x:c>
      <x:c r="B17" s="95" t="str">
        <x:v>电容</x:v>
      </x:c>
      <x:c r="C17" s="95" t="str">
        <x:v>C3,C23</x:v>
      </x:c>
      <x:c r="D17" s="95" t="n">
        <x:v>2</x:v>
      </x:c>
      <x:c r="E17" s="95" t="n">
        <x:v>5</x:v>
      </x:c>
      <x:c r="F17" s="95" t="str">
        <x:v>1 µF / 50 V X7R</x:v>
      </x:c>
      <x:c r="G17" s="95" t="str">
        <x:v>Samsung</x:v>
      </x:c>
      <x:c r="H17" s="95" t="str">
        <x:v>CL21B105KBFNNNE</x:v>
      </x:c>
      <x:c r="I17" s="95" t="str">
        <x:v>C28323</x:v>
      </x:c>
      <x:c r="J17" s="95" t="str">
        <x:v>0805</x:v>
      </x:c>
      <x:c r="K17" s="95" t="str">
        <x:v>±10%；50 V；X7R</x:v>
      </x:c>
      <x:c r="L17" s="95" t="str">
        <x:v>SMT</x:v>
      </x:c>
      <x:c r="M17" s="96" t="n">
        <x:v>100399</x:v>
      </x:c>
      <x:c r="N17" s="97" t="n">
        <x:v>0.2699</x:v>
      </x:c>
      <x:c r="O17" s="97" t="n">
        <x:f>ROUND(D17*N17,4)</x:f>
        <x:v>0.5398</x:v>
      </x:c>
      <x:c r="P17" s="95" t="str">
        <x:v>YES</x:v>
      </x:c>
      <x:c r="Q17" s="95" t="str">
        <x:v>精确 C 号；规格匹配</x:v>
      </x:c>
      <x:c r="R17" s="95" t="str">
        <x:v>C3=VM 去耦；C23=U2/U3 共享供电去耦。</x:v>
      </x:c>
      <x:c r="S17" s="98" t="str">
        <x:v>https://www.lcsc.com/product-detail/C28323.html</x:v>
      </x:c>
    </x:row>
    <x:row r="18">
      <x:c r="A18" s="94" t="n">
        <x:v>12</x:v>
      </x:c>
      <x:c r="B18" s="95" t="str">
        <x:v>电容</x:v>
      </x:c>
      <x:c r="C18" s="95" t="str">
        <x:v>C4,C5,C6,C10,C12,C21,C22</x:v>
      </x:c>
      <x:c r="D18" s="95" t="n">
        <x:v>7</x:v>
      </x:c>
      <x:c r="E18" s="95" t="n">
        <x:v>20</x:v>
      </x:c>
      <x:c r="F18" s="95" t="str">
        <x:v>100 nF / 50 V X7R</x:v>
      </x:c>
      <x:c r="G18" s="95" t="str">
        <x:v>Samsung</x:v>
      </x:c>
      <x:c r="H18" s="95" t="str">
        <x:v>CL10B104KB8NNNC</x:v>
      </x:c>
      <x:c r="I18" s="95" t="str">
        <x:v>C1591</x:v>
      </x:c>
      <x:c r="J18" s="95" t="str">
        <x:v>0603</x:v>
      </x:c>
      <x:c r="K18" s="95" t="str">
        <x:v>±10%；50 V；X7R</x:v>
      </x:c>
      <x:c r="L18" s="95" t="str">
        <x:v>SMT</x:v>
      </x:c>
      <x:c r="M18" s="96" t="n">
        <x:v>20564</x:v>
      </x:c>
      <x:c r="N18" s="97" t="n">
        <x:v>0.0717</x:v>
      </x:c>
      <x:c r="O18" s="97" t="n">
        <x:f>ROUND(D18*N18,4)</x:f>
        <x:v>0.5019</x:v>
      </x:c>
      <x:c r="P18" s="95" t="str">
        <x:v>YES</x:v>
      </x:c>
      <x:c r="Q18" s="95" t="str">
        <x:v>精确 C 号；规格匹配</x:v>
      </x:c>
      <x:c r="R18" s="95" t="str">
        <x:v>3×VM、VREF、nSLEEP、2×比较器局部去耦。</x:v>
      </x:c>
      <x:c r="S18" s="98" t="str">
        <x:v>https://www.lcsc.com/product-detail/C1591.html</x:v>
      </x:c>
    </x:row>
    <x:row r="19">
      <x:c r="A19" s="94" t="n">
        <x:v>13</x:v>
      </x:c>
      <x:c r="B19" s="95" t="str">
        <x:v>电容</x:v>
      </x:c>
      <x:c r="C19" s="95" t="str">
        <x:v>C7</x:v>
      </x:c>
      <x:c r="D19" s="95" t="n">
        <x:v>1</x:v>
      </x:c>
      <x:c r="E19" s="95" t="n">
        <x:v>10</x:v>
      </x:c>
      <x:c r="F19" s="95" t="str">
        <x:v>47 nF / 50 V X7R</x:v>
      </x:c>
      <x:c r="G19" s="95" t="str">
        <x:v>Samsung</x:v>
      </x:c>
      <x:c r="H19" s="95" t="str">
        <x:v>CL10B473KB8NNNC</x:v>
      </x:c>
      <x:c r="I19" s="95" t="str">
        <x:v>C1622</x:v>
      </x:c>
      <x:c r="J19" s="95" t="str">
        <x:v>0603</x:v>
      </x:c>
      <x:c r="K19" s="95" t="str">
        <x:v>±10%；50 V；X7R</x:v>
      </x:c>
      <x:c r="L19" s="95" t="str">
        <x:v>SMT</x:v>
      </x:c>
      <x:c r="M19" s="96" t="n">
        <x:v>6168</x:v>
      </x:c>
      <x:c r="N19" s="97" t="n">
        <x:v>0.0625</x:v>
      </x:c>
      <x:c r="O19" s="97" t="n">
        <x:f>ROUND(D19*N19,4)</x:f>
        <x:v>0.0625</x:v>
      </x:c>
      <x:c r="P19" s="95" t="str">
        <x:v>YES</x:v>
      </x:c>
      <x:c r="Q19" s="95" t="str">
        <x:v>精确 C 号；规格匹配</x:v>
      </x:c>
      <x:c r="R19" s="95" t="str">
        <x:v>CPH–CPL 飞跨电容，紧贴 U1。</x:v>
      </x:c>
      <x:c r="S19" s="98" t="str">
        <x:v>https://www.lcsc.com/product-detail/C1622.html</x:v>
      </x:c>
    </x:row>
    <x:row r="20">
      <x:c r="A20" s="94" t="n">
        <x:v>14</x:v>
      </x:c>
      <x:c r="B20" s="95" t="str">
        <x:v>电容</x:v>
      </x:c>
      <x:c r="C20" s="95" t="str">
        <x:v>C8,C9</x:v>
      </x:c>
      <x:c r="D20" s="95" t="n">
        <x:v>2</x:v>
      </x:c>
      <x:c r="E20" s="95" t="n">
        <x:v>10</x:v>
      </x:c>
      <x:c r="F20" s="95" t="str">
        <x:v>1 µF / 25 V X5R</x:v>
      </x:c>
      <x:c r="G20" s="95" t="str">
        <x:v>Samsung</x:v>
      </x:c>
      <x:c r="H20" s="95" t="str">
        <x:v>CL10A105KA8NNNC</x:v>
      </x:c>
      <x:c r="I20" s="95" t="str">
        <x:v>C5673</x:v>
      </x:c>
      <x:c r="J20" s="95" t="str">
        <x:v>0603</x:v>
      </x:c>
      <x:c r="K20" s="95" t="str">
        <x:v>±10%；25 V；X5R</x:v>
      </x:c>
      <x:c r="L20" s="95" t="str">
        <x:v>SMT</x:v>
      </x:c>
      <x:c r="M20" s="96" t="n">
        <x:v>91531</x:v>
      </x:c>
      <x:c r="N20" s="97" t="n">
        <x:v>0.1714</x:v>
      </x:c>
      <x:c r="O20" s="97" t="n">
        <x:f>ROUND(D20*N20,4)</x:f>
        <x:v>0.3428</x:v>
      </x:c>
      <x:c r="P20" s="95" t="str">
        <x:v>YES</x:v>
      </x:c>
      <x:c r="Q20" s="95" t="str">
        <x:v>精确 C 号；规格匹配</x:v>
      </x:c>
      <x:c r="R20" s="95" t="str">
        <x:v>C8=CP–VM；C9=AVDD–AGND。</x:v>
      </x:c>
      <x:c r="S20" s="98" t="str">
        <x:v>https://www.lcsc.com/product-detail/C5673.html</x:v>
      </x:c>
    </x:row>
    <x:row r="21">
      <x:c r="A21" s="94" t="n">
        <x:v>15</x:v>
      </x:c>
      <x:c r="B21" s="95" t="str">
        <x:v>电容</x:v>
      </x:c>
      <x:c r="C21" s="95" t="str">
        <x:v>C11</x:v>
      </x:c>
      <x:c r="D21" s="95" t="n">
        <x:v>1</x:v>
      </x:c>
      <x:c r="E21" s="95" t="n">
        <x:v>5</x:v>
      </x:c>
      <x:c r="F21" s="95" t="str">
        <x:v>22 µF / 25 V X5R</x:v>
      </x:c>
      <x:c r="G21" s="95" t="str">
        <x:v>Samsung</x:v>
      </x:c>
      <x:c r="H21" s="95" t="str">
        <x:v>CL21A226MAQNNNE</x:v>
      </x:c>
      <x:c r="I21" s="95" t="str">
        <x:v>C45783</x:v>
      </x:c>
      <x:c r="J21" s="95" t="str">
        <x:v>0805</x:v>
      </x:c>
      <x:c r="K21" s="95" t="str">
        <x:v>±20%；25 V；X5R</x:v>
      </x:c>
      <x:c r="L21" s="95" t="str">
        <x:v>SMT</x:v>
      </x:c>
      <x:c r="M21" s="96" t="n">
        <x:v>80968</x:v>
      </x:c>
      <x:c r="N21" s="97" t="n">
        <x:v>1.684</x:v>
      </x:c>
      <x:c r="O21" s="97" t="n">
        <x:f>ROUND(D21*N21,4)</x:f>
        <x:v>1.684</x:v>
      </x:c>
      <x:c r="P21" s="95" t="str">
        <x:v>YES</x:v>
      </x:c>
      <x:c r="Q21" s="95" t="str">
        <x:v>精确 C 号；规格匹配</x:v>
      </x:c>
      <x:c r="R21" s="95" t="str">
        <x:v>Buck Resistor Mode 必装；FB_BK–GND_BK，紧贴 U1。</x:v>
      </x:c>
      <x:c r="S21" s="98" t="str">
        <x:v>https://www.lcsc.com/product-detail/C45783.html</x:v>
      </x:c>
    </x:row>
    <x:row r="22">
      <x:c r="A22" s="94" t="n">
        <x:v>16</x:v>
      </x:c>
      <x:c r="B22" s="95" t="str">
        <x:v>电容</x:v>
      </x:c>
      <x:c r="C22" s="95" t="str">
        <x:v>C13,C14,C15</x:v>
      </x:c>
      <x:c r="D22" s="95" t="n">
        <x:v>3</x:v>
      </x:c>
      <x:c r="E22" s="95" t="n">
        <x:v>10</x:v>
      </x:c>
      <x:c r="F22" s="95" t="str">
        <x:v>33 pF / 50 V C0G</x:v>
      </x:c>
      <x:c r="G22" s="95" t="str">
        <x:v>Yageo</x:v>
      </x:c>
      <x:c r="H22" s="95" t="str">
        <x:v>CC0603JRNPO9BN330</x:v>
      </x:c>
      <x:c r="I22" s="95" t="str">
        <x:v>C107047</x:v>
      </x:c>
      <x:c r="J22" s="95" t="str">
        <x:v>0603</x:v>
      </x:c>
      <x:c r="K22" s="95" t="str">
        <x:v>±5%；C0G/NP0</x:v>
      </x:c>
      <x:c r="L22" s="95" t="str">
        <x:v>SMT</x:v>
      </x:c>
      <x:c r="M22" s="96" t="n">
        <x:v>20739</x:v>
      </x:c>
      <x:c r="N22" s="97" t="n">
        <x:v>0.0484</x:v>
      </x:c>
      <x:c r="O22" s="97" t="n">
        <x:f>ROUND(D22*N22,4)</x:f>
        <x:v>0.1452</x:v>
      </x:c>
      <x:c r="P22" s="95" t="str">
        <x:v>YES</x:v>
      </x:c>
      <x:c r="Q22" s="95" t="str">
        <x:v>精确 C 号；规格匹配</x:v>
      </x:c>
      <x:c r="R22" s="95" t="str">
        <x:v>SOA/B/C ADC 支路，各自独立。</x:v>
      </x:c>
      <x:c r="S22" s="98" t="str">
        <x:v>https://www.lcsc.com/product-detail/C107047.html</x:v>
      </x:c>
    </x:row>
    <x:row r="23">
      <x:c r="A23" s="94" t="n">
        <x:v>17</x:v>
      </x:c>
      <x:c r="B23" s="95" t="str">
        <x:v>电容</x:v>
      </x:c>
      <x:c r="C23" s="95" t="str">
        <x:v>C16,C17,C18</x:v>
      </x:c>
      <x:c r="D23" s="95" t="n">
        <x:v>3</x:v>
      </x:c>
      <x:c r="E23" s="95" t="n">
        <x:v>10</x:v>
      </x:c>
      <x:c r="F23" s="95" t="str">
        <x:v>100 pF / 50 V C0G</x:v>
      </x:c>
      <x:c r="G23" s="95" t="str">
        <x:v>Yageo</x:v>
      </x:c>
      <x:c r="H23" s="95" t="str">
        <x:v>CC0603JRNPO9BN101</x:v>
      </x:c>
      <x:c r="I23" s="95" t="str">
        <x:v>C14665</x:v>
      </x:c>
      <x:c r="J23" s="95" t="str">
        <x:v>0603</x:v>
      </x:c>
      <x:c r="K23" s="95" t="str">
        <x:v>±5%；C0G/NP0</x:v>
      </x:c>
      <x:c r="L23" s="95" t="str">
        <x:v>SMT</x:v>
      </x:c>
      <x:c r="M23" s="96" t="n">
        <x:v>21326</x:v>
      </x:c>
      <x:c r="N23" s="97" t="n">
        <x:v>0.0558</x:v>
      </x:c>
      <x:c r="O23" s="97" t="n">
        <x:f>ROUND(D23*N23,4)</x:f>
        <x:v>0.1674</x:v>
      </x:c>
      <x:c r="P23" s="95" t="str">
        <x:v>YES</x:v>
      </x:c>
      <x:c r="Q23" s="95" t="str">
        <x:v>精确 C 号；规格匹配</x:v>
      </x:c>
      <x:c r="R23" s="95" t="str">
        <x:v>SOA/B/C 比较器支路，各自独立。</x:v>
      </x:c>
      <x:c r="S23" s="98" t="str">
        <x:v>https://www.lcsc.com/product-detail/C14665.html</x:v>
      </x:c>
    </x:row>
    <x:row r="24">
      <x:c r="A24" s="94" t="n">
        <x:v>18</x:v>
      </x:c>
      <x:c r="B24" s="95" t="str">
        <x:v>电容</x:v>
      </x:c>
      <x:c r="C24" s="95" t="str">
        <x:v>C19,C20,C26</x:v>
      </x:c>
      <x:c r="D24" s="95" t="n">
        <x:v>3</x:v>
      </x:c>
      <x:c r="E24" s="95" t="n">
        <x:v>10</x:v>
      </x:c>
      <x:c r="F24" s="95" t="str">
        <x:v>10 nF / 50 V X7R</x:v>
      </x:c>
      <x:c r="G24" s="95" t="str">
        <x:v>Yageo</x:v>
      </x:c>
      <x:c r="H24" s="95" t="str">
        <x:v>CC0603KRX7R9BB103</x:v>
      </x:c>
      <x:c r="I24" s="95" t="str">
        <x:v>C100042</x:v>
      </x:c>
      <x:c r="J24" s="95" t="str">
        <x:v>0603</x:v>
      </x:c>
      <x:c r="K24" s="95" t="str">
        <x:v>±10%；50 V；X7R</x:v>
      </x:c>
      <x:c r="L24" s="95" t="str">
        <x:v>SMT</x:v>
      </x:c>
      <x:c r="M24" s="96" t="n">
        <x:v>68999</x:v>
      </x:c>
      <x:c r="N24" s="97" t="n">
        <x:v>0.0661</x:v>
      </x:c>
      <x:c r="O24" s="97" t="n">
        <x:f>ROUND(D24*N24,4)</x:f>
        <x:v>0.1983</x:v>
      </x:c>
      <x:c r="P24" s="95" t="str">
        <x:v>YES</x:v>
      </x:c>
      <x:c r="Q24" s="95" t="str">
        <x:v>隔离库生成通过</x:v>
      </x:c>
      <x:c r="R24" s="95" t="str">
        <x:v>V_LOW、V_HIGH、VBUS_TRIP 滤波；替换源 CAD 403 的 C1589。</x:v>
      </x:c>
      <x:c r="S24" s="98" t="str">
        <x:v>https://www.lcsc.com/product-detail/C100042.html</x:v>
      </x:c>
    </x:row>
    <x:row r="25">
      <x:c r="A25" s="94" t="n">
        <x:v>19</x:v>
      </x:c>
      <x:c r="B25" s="95" t="str">
        <x:v>电容</x:v>
      </x:c>
      <x:c r="C25" s="95" t="str">
        <x:v>C24,C25</x:v>
      </x:c>
      <x:c r="D25" s="95" t="n">
        <x:v>2</x:v>
      </x:c>
      <x:c r="E25" s="95" t="n">
        <x:v>10</x:v>
      </x:c>
      <x:c r="F25" s="95" t="str">
        <x:v>1 nF / 50 V X7R</x:v>
      </x:c>
      <x:c r="G25" s="95" t="str">
        <x:v>Samsung</x:v>
      </x:c>
      <x:c r="H25" s="95" t="str">
        <x:v>CL10B102KB8NNNC</x:v>
      </x:c>
      <x:c r="I25" s="95" t="str">
        <x:v>C1588</x:v>
      </x:c>
      <x:c r="J25" s="95" t="str">
        <x:v>0603</x:v>
      </x:c>
      <x:c r="K25" s="95" t="str">
        <x:v>±10%；50 V；X7R</x:v>
      </x:c>
      <x:c r="L25" s="95" t="str">
        <x:v>SMT</x:v>
      </x:c>
      <x:c r="M25" s="96" t="n">
        <x:v>121606</x:v>
      </x:c>
      <x:c r="N25" s="97" t="n">
        <x:v>0.0558</x:v>
      </x:c>
      <x:c r="O25" s="97" t="n">
        <x:f>ROUND(D25*N25,4)</x:f>
        <x:v>0.1116</x:v>
      </x:c>
      <x:c r="P25" s="95" t="str">
        <x:v>YES</x:v>
      </x:c>
      <x:c r="Q25" s="95" t="str">
        <x:v>隔离库生成通过</x:v>
      </x:c>
      <x:c r="R25" s="95" t="str">
        <x:v>VBUS_DIV_RAW 与 VBUS_SENSE 各一只；替换源 CAD 403 的 C100040。</x:v>
      </x:c>
      <x:c r="S25" s="98" t="str">
        <x:v>https://www.lcsc.com/product-detail/C1588.html</x:v>
      </x:c>
    </x:row>
    <x:row r="26">
      <x:c r="A26" s="94" t="n">
        <x:v>20</x:v>
      </x:c>
      <x:c r="B26" s="95" t="str">
        <x:v>电阻</x:v>
      </x:c>
      <x:c r="C26" s="95" t="str">
        <x:v>R1,R14,R15</x:v>
      </x:c>
      <x:c r="D26" s="95" t="n">
        <x:v>3</x:v>
      </x:c>
      <x:c r="E26" s="95" t="n">
        <x:v>20</x:v>
      </x:c>
      <x:c r="F26" s="95" t="str">
        <x:v>22 Ω / 1%</x:v>
      </x:c>
      <x:c r="G26" s="95" t="str">
        <x:v>UNI-ROYAL</x:v>
      </x:c>
      <x:c r="H26" s="95" t="str">
        <x:v>0603WAF220JT5E</x:v>
      </x:c>
      <x:c r="I26" s="95" t="str">
        <x:v>C23345</x:v>
      </x:c>
      <x:c r="J26" s="95" t="str">
        <x:v>0603</x:v>
      </x:c>
      <x:c r="K26" s="95" t="str">
        <x:v>0.1 W；±1%</x:v>
      </x:c>
      <x:c r="L26" s="95" t="str">
        <x:v>SMT</x:v>
      </x:c>
      <x:c r="M26" s="96" t="n">
        <x:v>59839</x:v>
      </x:c>
      <x:c r="N26" s="97" t="n">
        <x:v>0.0111</x:v>
      </x:c>
      <x:c r="O26" s="97" t="n">
        <x:f>ROUND(D26*N26,4)</x:f>
        <x:v>0.0333</x:v>
      </x:c>
      <x:c r="P26" s="95" t="str">
        <x:v>YES</x:v>
      </x:c>
      <x:c r="Q26" s="95" t="str">
        <x:v>精确 C 号；规格匹配</x:v>
      </x:c>
      <x:c r="R26" s="95" t="str">
        <x:v>R1=Buck；R14/R15=SPI SCK/MOSI 串联。</x:v>
      </x:c>
      <x:c r="S26" s="98" t="str">
        <x:v>https://www.lcsc.com/product-detail/C23345.html</x:v>
      </x:c>
    </x:row>
    <x:row r="27">
      <x:c r="A27" s="94" t="n">
        <x:v>21</x:v>
      </x:c>
      <x:c r="B27" s="95" t="str">
        <x:v>电阻</x:v>
      </x:c>
      <x:c r="C27" s="95" t="str">
        <x:v>R2-R7</x:v>
      </x:c>
      <x:c r="D27" s="95" t="n">
        <x:v>6</x:v>
      </x:c>
      <x:c r="E27" s="95" t="n">
        <x:v>20</x:v>
      </x:c>
      <x:c r="F27" s="95" t="str">
        <x:v>47 Ω / 1%</x:v>
      </x:c>
      <x:c r="G27" s="95" t="str">
        <x:v>UNI-ROYAL</x:v>
      </x:c>
      <x:c r="H27" s="95" t="str">
        <x:v>0603WAF470JT5E</x:v>
      </x:c>
      <x:c r="I27" s="95" t="str">
        <x:v>C23182</x:v>
      </x:c>
      <x:c r="J27" s="95" t="str">
        <x:v>0603</x:v>
      </x:c>
      <x:c r="K27" s="95" t="str">
        <x:v>0.1 W；±1%</x:v>
      </x:c>
      <x:c r="L27" s="95" t="str">
        <x:v>SMT</x:v>
      </x:c>
      <x:c r="M27" s="96" t="n">
        <x:v>10715</x:v>
      </x:c>
      <x:c r="N27" s="97" t="n">
        <x:v>0.0262</x:v>
      </x:c>
      <x:c r="O27" s="97" t="n">
        <x:f>ROUND(D27*N27,4)</x:f>
        <x:v>0.1572</x:v>
      </x:c>
      <x:c r="P27" s="95" t="str">
        <x:v>YES</x:v>
      </x:c>
      <x:c r="Q27" s="95" t="str">
        <x:v>精确 C 号；规格匹配</x:v>
      </x:c>
      <x:c r="R27" s="95" t="str">
        <x:v>六路 PWM 串联阻尼。</x:v>
      </x:c>
      <x:c r="S27" s="98" t="str">
        <x:v>https://www.lcsc.com/product-detail/C23182.html</x:v>
      </x:c>
    </x:row>
    <x:row r="28">
      <x:c r="A28" s="94" t="n">
        <x:v>22</x:v>
      </x:c>
      <x:c r="B28" s="95" t="str">
        <x:v>电阻</x:v>
      </x:c>
      <x:c r="C28" s="95" t="str">
        <x:v>R8-R13,R19</x:v>
      </x:c>
      <x:c r="D28" s="95" t="n">
        <x:v>7</x:v>
      </x:c>
      <x:c r="E28" s="95" t="n">
        <x:v>20</x:v>
      </x:c>
      <x:c r="F28" s="95" t="str">
        <x:v>100 kΩ / 1%</x:v>
      </x:c>
      <x:c r="G28" s="95" t="str">
        <x:v>UNI-ROYAL</x:v>
      </x:c>
      <x:c r="H28" s="95" t="str">
        <x:v>0603WAF1003T5E</x:v>
      </x:c>
      <x:c r="I28" s="95" t="str">
        <x:v>C25803</x:v>
      </x:c>
      <x:c r="J28" s="95" t="str">
        <x:v>0603</x:v>
      </x:c>
      <x:c r="K28" s="95" t="str">
        <x:v>0.1 W；±1%</x:v>
      </x:c>
      <x:c r="L28" s="95" t="str">
        <x:v>SMT</x:v>
      </x:c>
      <x:c r="M28" s="96" t="n">
        <x:v>155694</x:v>
      </x:c>
      <x:c r="N28" s="97" t="n">
        <x:v>0.0251</x:v>
      </x:c>
      <x:c r="O28" s="97" t="n">
        <x:f>ROUND(D28*N28,4)</x:f>
        <x:v>0.1757</x:v>
      </x:c>
      <x:c r="P28" s="95" t="str">
        <x:v>YES</x:v>
      </x:c>
      <x:c r="Q28" s="95" t="str">
        <x:v>精确 C 号；规格匹配</x:v>
      </x:c>
      <x:c r="R28" s="95" t="str">
        <x:v>6×PWM 下拉；1×nSLEEP 下拉。</x:v>
      </x:c>
      <x:c r="S28" s="98" t="str">
        <x:v>https://www.lcsc.com/product-detail/C25803.html</x:v>
      </x:c>
    </x:row>
    <x:row r="29">
      <x:c r="A29" s="94" t="n">
        <x:v>23</x:v>
      </x:c>
      <x:c r="B29" s="95" t="str">
        <x:v>电阻</x:v>
      </x:c>
      <x:c r="C29" s="95" t="str">
        <x:v>R16,R17,R18</x:v>
      </x:c>
      <x:c r="D29" s="95" t="n">
        <x:v>3</x:v>
      </x:c>
      <x:c r="E29" s="95" t="n">
        <x:v>20</x:v>
      </x:c>
      <x:c r="F29" s="95" t="str">
        <x:v>10 kΩ / 1%</x:v>
      </x:c>
      <x:c r="G29" s="95" t="str">
        <x:v>UNI-ROYAL</x:v>
      </x:c>
      <x:c r="H29" s="95" t="str">
        <x:v>0603WAF1002T5E</x:v>
      </x:c>
      <x:c r="I29" s="95" t="str">
        <x:v>C25804</x:v>
      </x:c>
      <x:c r="J29" s="95" t="str">
        <x:v>0603</x:v>
      </x:c>
      <x:c r="K29" s="95" t="str">
        <x:v>0.1 W；±1%</x:v>
      </x:c>
      <x:c r="L29" s="95" t="str">
        <x:v>SMT</x:v>
      </x:c>
      <x:c r="M29" s="96" t="n">
        <x:v>17027</x:v>
      </x:c>
      <x:c r="N29" s="97" t="n">
        <x:v>0.015</x:v>
      </x:c>
      <x:c r="O29" s="97" t="n">
        <x:f>ROUND(D29*N29,4)</x:f>
        <x:v>0.045</x:v>
      </x:c>
      <x:c r="P29" s="95" t="str">
        <x:v>YES</x:v>
      </x:c>
      <x:c r="Q29" s="95" t="str">
        <x:v>精确 C 号；规格匹配</x:v>
      </x:c>
      <x:c r="R29" s="95" t="str">
        <x:v>CS_N、DRVOFF、nSLEEP 上拉。</x:v>
      </x:c>
      <x:c r="S29" s="98" t="str">
        <x:v>https://www.lcsc.com/product-detail/C25804.html</x:v>
      </x:c>
    </x:row>
    <x:row r="30">
      <x:c r="A30" s="94" t="n">
        <x:v>24</x:v>
      </x:c>
      <x:c r="B30" s="95" t="str">
        <x:v>电阻</x:v>
      </x:c>
      <x:c r="C30" s="95" t="str">
        <x:v>R20-R22,R39</x:v>
      </x:c>
      <x:c r="D30" s="95" t="n">
        <x:v>4</x:v>
      </x:c>
      <x:c r="E30" s="95" t="n">
        <x:v>20</x:v>
      </x:c>
      <x:c r="F30" s="95" t="str">
        <x:v>0 Ω 跳线</x:v>
      </x:c>
      <x:c r="G30" s="95" t="str">
        <x:v>UNI-ROYAL</x:v>
      </x:c>
      <x:c r="H30" s="95" t="str">
        <x:v>0603WAF0000T5E</x:v>
      </x:c>
      <x:c r="I30" s="95" t="str">
        <x:v>C21189</x:v>
      </x:c>
      <x:c r="J30" s="95" t="str">
        <x:v>0603</x:v>
      </x:c>
      <x:c r="K30" s="95" t="str">
        <x:v>0 Ω；0.1 W</x:v>
      </x:c>
      <x:c r="L30" s="95" t="str">
        <x:v>SMT</x:v>
      </x:c>
      <x:c r="M30" s="96" t="n">
        <x:v>140970</x:v>
      </x:c>
      <x:c r="N30" s="97" t="n">
        <x:v>0.0158</x:v>
      </x:c>
      <x:c r="O30" s="97" t="n">
        <x:f>ROUND(D30*N30,4)</x:f>
        <x:v>0.0632</x:v>
      </x:c>
      <x:c r="P30" s="95" t="str">
        <x:v>YES</x:v>
      </x:c>
      <x:c r="Q30" s="95" t="str">
        <x:v>精确 C 号；规格匹配</x:v>
      </x:c>
      <x:c r="R30" s="95" t="str">
        <x:v>3×SO 隔离；1×AVDD→VREF/ILIM。</x:v>
      </x:c>
      <x:c r="S30" s="98" t="str">
        <x:v>https://www.lcsc.com/product-detail/C21189.html</x:v>
      </x:c>
    </x:row>
    <x:row r="31">
      <x:c r="A31" s="94" t="n">
        <x:v>25</x:v>
      </x:c>
      <x:c r="B31" s="95" t="str">
        <x:v>电阻</x:v>
      </x:c>
      <x:c r="C31" s="95" t="str">
        <x:v>R23-R28,R36</x:v>
      </x:c>
      <x:c r="D31" s="95" t="n">
        <x:v>7</x:v>
      </x:c>
      <x:c r="E31" s="95" t="n">
        <x:v>20</x:v>
      </x:c>
      <x:c r="F31" s="95" t="str">
        <x:v>1 kΩ / 1%</x:v>
      </x:c>
      <x:c r="G31" s="95" t="str">
        <x:v>UNI-ROYAL</x:v>
      </x:c>
      <x:c r="H31" s="95" t="str">
        <x:v>0603WAF1001T5E</x:v>
      </x:c>
      <x:c r="I31" s="95" t="str">
        <x:v>C21190</x:v>
      </x:c>
      <x:c r="J31" s="95" t="str">
        <x:v>0603</x:v>
      </x:c>
      <x:c r="K31" s="95" t="str">
        <x:v>0.1 W；±1%</x:v>
      </x:c>
      <x:c r="L31" s="95" t="str">
        <x:v>SMT</x:v>
      </x:c>
      <x:c r="M31" s="96" t="n">
        <x:v>95467</x:v>
      </x:c>
      <x:c r="N31" s="97" t="n">
        <x:v>0.0199</x:v>
      </x:c>
      <x:c r="O31" s="97" t="n">
        <x:f>ROUND(D31*N31,4)</x:f>
        <x:v>0.1393</x:v>
      </x:c>
      <x:c r="P31" s="95" t="str">
        <x:v>YES</x:v>
      </x:c>
      <x:c r="Q31" s="95" t="str">
        <x:v>精确 C 号；规格匹配</x:v>
      </x:c>
      <x:c r="R31" s="95" t="str">
        <x:v>6×SO ADC/CMP 独立支路；1×VBUS_SENSE 串联。</x:v>
      </x:c>
      <x:c r="S31" s="98" t="str">
        <x:v>https://www.lcsc.com/product-detail/C21190.html</x:v>
      </x:c>
    </x:row>
    <x:row r="32">
      <x:c r="A32" s="94" t="n">
        <x:v>26</x:v>
      </x:c>
      <x:c r="B32" s="95" t="str">
        <x:v>精密电阻</x:v>
      </x:c>
      <x:c r="C32" s="95" t="str">
        <x:v>R29,R32,R34,R38</x:v>
      </x:c>
      <x:c r="D32" s="95" t="n">
        <x:v>4</x:v>
      </x:c>
      <x:c r="E32" s="95" t="n">
        <x:v>10</x:v>
      </x:c>
      <x:c r="F32" s="95" t="str">
        <x:v>100 kΩ / 0.1%</x:v>
      </x:c>
      <x:c r="G32" s="95" t="str">
        <x:v>Yageo</x:v>
      </x:c>
      <x:c r="H32" s="95" t="str">
        <x:v>RT0603BRD07100KL</x:v>
      </x:c>
      <x:c r="I32" s="95" t="str">
        <x:v>C122538</x:v>
      </x:c>
      <x:c r="J32" s="95" t="str">
        <x:v>0603</x:v>
      </x:c>
      <x:c r="K32" s="95" t="str">
        <x:v>±0.1%；25 ppm/°C</x:v>
      </x:c>
      <x:c r="L32" s="95" t="str">
        <x:v>SMT</x:v>
      </x:c>
      <x:c r="M32" s="96" t="n">
        <x:v>44741</x:v>
      </x:c>
      <x:c r="N32" s="97" t="n">
        <x:v>0.2068</x:v>
      </x:c>
      <x:c r="O32" s="97" t="n">
        <x:f>ROUND(D32*N32,4)</x:f>
        <x:v>0.8272</x:v>
      </x:c>
      <x:c r="P32" s="95" t="str">
        <x:v>YES</x:v>
      </x:c>
      <x:c r="Q32" s="95" t="str">
        <x:v>精确 C 号；规格匹配</x:v>
      </x:c>
      <x:c r="R32" s="95" t="str">
        <x:v>V_LOW/V_HIGH/VBUS_DIV/VBUS_TRIP 精密分压。</x:v>
      </x:c>
      <x:c r="S32" s="98" t="str">
        <x:v>https://www.lcsc.com/product-detail/C122538.html</x:v>
      </x:c>
    </x:row>
    <x:row r="33">
      <x:c r="A33" s="94" t="n">
        <x:v>27</x:v>
      </x:c>
      <x:c r="B33" s="95" t="str">
        <x:v>精密电阻</x:v>
      </x:c>
      <x:c r="C33" s="95" t="str">
        <x:v>R30,R31</x:v>
      </x:c>
      <x:c r="D33" s="95" t="n">
        <x:v>2</x:v>
      </x:c>
      <x:c r="E33" s="95" t="n">
        <x:v>5</x:v>
      </x:c>
      <x:c r="F33" s="95" t="str">
        <x:v>21.0 kΩ / 0.1%</x:v>
      </x:c>
      <x:c r="G33" s="95" t="str">
        <x:v>RESI</x:v>
      </x:c>
      <x:c r="H33" s="95" t="str">
        <x:v>PTFR0603B21K0N9</x:v>
      </x:c>
      <x:c r="I33" s="95" t="str">
        <x:v>C2692847</x:v>
      </x:c>
      <x:c r="J33" s="95" t="str">
        <x:v>0603</x:v>
      </x:c>
      <x:c r="K33" s="95" t="str">
        <x:v>±0.1%；10 ppm/°C</x:v>
      </x:c>
      <x:c r="L33" s="95" t="str">
        <x:v>SMT</x:v>
      </x:c>
      <x:c r="M33" s="96" t="n">
        <x:v>805</x:v>
      </x:c>
      <x:c r="N33" s="97" t="n">
        <x:v>0.8711</x:v>
      </x:c>
      <x:c r="O33" s="97" t="n">
        <x:f>ROUND(D33*N33,4)</x:f>
        <x:v>1.7422</x:v>
      </x:c>
      <x:c r="P33" s="95" t="str">
        <x:v>YES</x:v>
      </x:c>
      <x:c r="Q33" s="95" t="str">
        <x:v>精确阻值；高库存候选</x:v>
      </x:c>
      <x:c r="R33" s="95" t="str">
        <x:v>V_LOW/V_HIGH 对称窗口；首板按实测电流增益再调值。</x:v>
      </x:c>
      <x:c r="S33" s="98" t="str">
        <x:v>https://www.lcsc.com/product-detail/C2692847.html</x:v>
      </x:c>
    </x:row>
    <x:row r="34">
      <x:c r="A34" s="94" t="n">
        <x:v>28</x:v>
      </x:c>
      <x:c r="B34" s="95" t="str">
        <x:v>电阻</x:v>
      </x:c>
      <x:c r="C34" s="95" t="str">
        <x:v>R33</x:v>
      </x:c>
      <x:c r="D34" s="95" t="n">
        <x:v>1</x:v>
      </x:c>
      <x:c r="E34" s="95" t="n">
        <x:v>10</x:v>
      </x:c>
      <x:c r="F34" s="95" t="str">
        <x:v>2.2 kΩ / 1%</x:v>
      </x:c>
      <x:c r="G34" s="95" t="str">
        <x:v>Yageo</x:v>
      </x:c>
      <x:c r="H34" s="95" t="str">
        <x:v>RC0603FR-072K2L</x:v>
      </x:c>
      <x:c r="I34" s="95" t="str">
        <x:v>C114662</x:v>
      </x:c>
      <x:c r="J34" s="95" t="str">
        <x:v>0603</x:v>
      </x:c>
      <x:c r="K34" s="95" t="str">
        <x:v>0.1 W；±1%</x:v>
      </x:c>
      <x:c r="L34" s="95" t="str">
        <x:v>SMT</x:v>
      </x:c>
      <x:c r="M34" s="96" t="n">
        <x:v>3513</x:v>
      </x:c>
      <x:c r="N34" s="97" t="n">
        <x:v>0.026</x:v>
      </x:c>
      <x:c r="O34" s="97" t="n">
        <x:f>ROUND(D34*N34,4)</x:f>
        <x:v>0.026</x:v>
      </x:c>
      <x:c r="P34" s="95" t="str">
        <x:v>YES</x:v>
      </x:c>
      <x:c r="Q34" s="95" t="str">
        <x:v>隔离库生成通过</x:v>
      </x:c>
      <x:c r="R34" s="95" t="str">
        <x:v>HARD_FAULT_N 唯一上拉；替换源 CAD 403 的 C4190。</x:v>
      </x:c>
      <x:c r="S34" s="98" t="str">
        <x:v>https://www.lcsc.com/product-detail/C114662.html</x:v>
      </x:c>
    </x:row>
    <x:row r="35">
      <x:c r="A35" s="94" t="n">
        <x:v>29</x:v>
      </x:c>
      <x:c r="B35" s="95" t="str">
        <x:v>精密电阻</x:v>
      </x:c>
      <x:c r="C35" s="95" t="str">
        <x:v>R35</x:v>
      </x:c>
      <x:c r="D35" s="95" t="n">
        <x:v>1</x:v>
      </x:c>
      <x:c r="E35" s="95" t="n">
        <x:v>5</x:v>
      </x:c>
      <x:c r="F35" s="95" t="str">
        <x:v>20.0 kΩ / 0.1%</x:v>
      </x:c>
      <x:c r="G35" s="95" t="str">
        <x:v>Vishay</x:v>
      </x:c>
      <x:c r="H35" s="95" t="str">
        <x:v>TNPW060320K0BEEA</x:v>
      </x:c>
      <x:c r="I35" s="95" t="str">
        <x:v>C844676</x:v>
      </x:c>
      <x:c r="J35" s="95" t="str">
        <x:v>0603</x:v>
      </x:c>
      <x:c r="K35" s="95" t="str">
        <x:v>±0.1%；25 ppm/°C；0.125 W</x:v>
      </x:c>
      <x:c r="L35" s="95" t="str">
        <x:v>SMT</x:v>
      </x:c>
      <x:c r="M35" s="96" t="n">
        <x:v>1905</x:v>
      </x:c>
      <x:c r="N35" s="97" t="n">
        <x:v>0.4834</x:v>
      </x:c>
      <x:c r="O35" s="97" t="n">
        <x:f>ROUND(D35*N35,4)</x:f>
        <x:v>0.4834</x:v>
      </x:c>
      <x:c r="P35" s="95" t="str">
        <x:v>YES</x:v>
      </x:c>
      <x:c r="Q35" s="95" t="str">
        <x:v>隔离库生成通过</x:v>
      </x:c>
      <x:c r="R35" s="95" t="str">
        <x:v>VBUS_DIV_RAW 下臂；替换源 CAD 403 的 C723637。</x:v>
      </x:c>
      <x:c r="S35" s="98" t="str">
        <x:v>https://www.lcsc.com/product-detail/C844676.html</x:v>
      </x:c>
    </x:row>
    <x:row r="36">
      <x:c r="A36" s="94" t="n">
        <x:v>30</x:v>
      </x:c>
      <x:c r="B36" s="95" t="str">
        <x:v>精密电阻</x:v>
      </x:c>
      <x:c r="C36" s="95" t="str">
        <x:v>R37</x:v>
      </x:c>
      <x:c r="D36" s="95" t="n">
        <x:v>1</x:v>
      </x:c>
      <x:c r="E36" s="95" t="n">
        <x:v>3</x:v>
      </x:c>
      <x:c r="F36" s="95" t="str">
        <x:v>23.7 kΩ / 0.1%</x:v>
      </x:c>
      <x:c r="G36" s="95" t="str">
        <x:v>Yageo</x:v>
      </x:c>
      <x:c r="H36" s="95" t="str">
        <x:v>AT0603BRD0723K7L</x:v>
      </x:c>
      <x:c r="I36" s="95" t="str">
        <x:v>C855730</x:v>
      </x:c>
      <x:c r="J36" s="95" t="str">
        <x:v>0603</x:v>
      </x:c>
      <x:c r="K36" s="95" t="str">
        <x:v>±0.1%；25 ppm/°C</x:v>
      </x:c>
      <x:c r="L36" s="95" t="str">
        <x:v>SMT</x:v>
      </x:c>
      <x:c r="M36" s="96" t="n">
        <x:v>93</x:v>
      </x:c>
      <x:c r="N36" s="97" t="n">
        <x:v>0.5254</x:v>
      </x:c>
      <x:c r="O36" s="97" t="n">
        <x:f>ROUND(D36*N36,4)</x:f>
        <x:v>0.5254</x:v>
      </x:c>
      <x:c r="P36" s="95" t="str">
        <x:v>YES</x:v>
      </x:c>
      <x:c r="Q36" s="95" t="str">
        <x:v>精确阻值；库存偏低</x:v>
      </x:c>
      <x:c r="R36" s="95" t="str">
        <x:v>VBUS_TRIP 上臂；采购前复查库存，备选 C3919228。</x:v>
      </x:c>
      <x:c r="S36" s="98" t="str">
        <x:v>https://www.lcsc.com/product-detail/C855730.html</x:v>
      </x:c>
    </x:row>
    <x:row r="37">
      <x:c r="A37" s="99" t="n">
        <x:v>31</x:v>
      </x:c>
      <x:c r="B37" s="100" t="str">
        <x:v>人工封装</x:v>
      </x:c>
      <x:c r="C37" s="100" t="str">
        <x:v>SJ1 (SJ_WAKE)</x:v>
      </x:c>
      <x:c r="D37" s="100" t="n">
        <x:v>1</x:v>
      </x:c>
      <x:c r="E37" s="100" t="n">
        <x:v>0</x:v>
      </x:c>
      <x:c r="F37" s="100" t="str">
        <x:v>默认闭合焊桥</x:v>
      </x:c>
      <x:c r="G37" s="100" t="str">
        <x:v>自建</x:v>
      </x:c>
      <x:c r="H37" s="100" t="str">
        <x:v>SJ_2PAD_NC</x:v>
      </x:c>
      <x:c r="I37" s="100" t="str"/>
      <x:c r="J37" s="100" t="str">
        <x:v>自建 SMD 焊桥</x:v>
      </x:c>
      <x:c r="K37" s="100" t="str">
        <x:v>默认闭合；可割断</x:v>
      </x:c>
      <x:c r="L37" s="100" t="str">
        <x:v>PCB FEATURE</x:v>
      </x:c>
      <x:c r="M37" s="101" t="str"/>
      <x:c r="N37" s="102" t="n">
        <x:v>0</x:v>
      </x:c>
      <x:c r="O37" s="102" t="n">
        <x:f>ROUND(D37*N37,4)</x:f>
        <x:v>0</x:v>
      </x:c>
      <x:c r="P37" s="100" t="str">
        <x:v>NO</x:v>
      </x:c>
      <x:c r="Q37" s="100" t="str">
        <x:v>无 C 号；按手工页建</x:v>
      </x:c>
      <x:c r="R37" s="100" t="str">
        <x:v>不进入 PartsBridge；位于 3V3_CTRL→10 kΩ→nSLEEP 前。</x:v>
      </x:c>
      <x:c r="S37" s="103" t="str"/>
    </x:row>
    <x:row r="38">
      <x:c r="A38" s="99" t="n">
        <x:v>32</x:v>
      </x:c>
      <x:c r="B38" s="100" t="str">
        <x:v>人工封装</x:v>
      </x:c>
      <x:c r="C38" s="100" t="str">
        <x:v>TP1-TP40</x:v>
      </x:c>
      <x:c r="D38" s="100" t="n">
        <x:v>40</x:v>
      </x:c>
      <x:c r="E38" s="100" t="n">
        <x:v>0</x:v>
      </x:c>
      <x:c r="F38" s="100" t="str">
        <x:v>可夹持镀锡线环测试点</x:v>
      </x:c>
      <x:c r="G38" s="100" t="str">
        <x:v>自制</x:v>
      </x:c>
      <x:c r="H38" s="100" t="str">
        <x:v>TP_LOOP_PTH_2P_P2.54</x:v>
      </x:c>
      <x:c r="I38" s="100" t="str"/>
      <x:c r="J38" s="100" t="str">
        <x:v>2×PTH, P=2.54 mm</x:v>
      </x:c>
      <x:c r="K38" s="100" t="str">
        <x:v>孔 1.0 mm；焊盘 2.0 mm；0.8 mm 线</x:v>
      </x:c>
      <x:c r="L38" s="100" t="str">
        <x:v>手焊线环</x:v>
      </x:c>
      <x:c r="M38" s="101" t="str"/>
      <x:c r="N38" s="102" t="n">
        <x:v>0</x:v>
      </x:c>
      <x:c r="O38" s="102" t="n">
        <x:f>ROUND(D38*N38,4)</x:f>
        <x:v>0</x:v>
      </x:c>
      <x:c r="P38" s="100" t="str">
        <x:v>NO</x:v>
      </x:c>
      <x:c r="Q38" s="100" t="str">
        <x:v>无 C 号；网名表已列</x:v>
      </x:c>
      <x:c r="R38" s="100" t="str">
        <x:v>默认不买 40 个商业测试柱；可选 Keystone 5015/C2906768 会增加约 ¥68。</x:v>
      </x:c>
      <x:c r="S38" s="103" t="str"/>
    </x:row>
    <x:row r="39">
      <x:c r="A39" s="104" t="n">
        <x:v>33</x:v>
      </x:c>
      <x:c r="B39" s="105" t="str">
        <x:v>机械</x:v>
      </x:c>
      <x:c r="C39" s="105" t="str">
        <x:v>H1-H4</x:v>
      </x:c>
      <x:c r="D39" s="105" t="n">
        <x:v>4</x:v>
      </x:c>
      <x:c r="E39" s="105" t="n">
        <x:v>0</x:v>
      </x:c>
      <x:c r="F39" s="105" t="str">
        <x:v>M3 安装孔</x:v>
      </x:c>
      <x:c r="G39" s="105" t="str">
        <x:v>PCB</x:v>
      </x:c>
      <x:c r="H39" s="105" t="str">
        <x:v>M3_NPTH_3.2</x:v>
      </x:c>
      <x:c r="I39" s="105" t="str"/>
      <x:c r="J39" s="105" t="str">
        <x:v>NPTH Ø3.2 mm</x:v>
      </x:c>
      <x:c r="K39" s="105" t="str">
        <x:v>铜/器件禁布 Ø6.5 mm</x:v>
      </x:c>
      <x:c r="L39" s="105" t="str">
        <x:v>PCB FEATURE</x:v>
      </x:c>
      <x:c r="M39" s="106" t="str"/>
      <x:c r="N39" s="107" t="n">
        <x:v>0</x:v>
      </x:c>
      <x:c r="O39" s="107" t="n">
        <x:f>ROUND(D39*N39,4)</x:f>
        <x:v>0</x:v>
      </x:c>
      <x:c r="P39" s="105" t="str">
        <x:v>NO</x:v>
      </x:c>
      <x:c r="Q39" s="105" t="str">
        <x:v>无 C 号；机械孔</x:v>
      </x:c>
      <x:c r="R39" s="105" t="str">
        <x:v>是否加螺钉/隔离柱待机架尺寸确认。</x:v>
      </x:c>
      <x:c r="S39" s="108" t="str"/>
    </x:row>
  </x:sheetData>
  <x:mergeCells>
    <x:mergeCell ref="A1:S1"/>
    <x:mergeCell ref="A2:S2"/>
    <x:mergeCell ref="A4:S4"/>
  </x:mergeCells>
  <x:pageMargins left="0.7" right="0.7" top="0.75" bottom="0.75" header="0.3" footer="0.3"/>
  <x:tableParts count="1">
    <x:tablePart xmlns:r="http://schemas.openxmlformats.org/officeDocument/2006/relationships" r:id="R86921d283347493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22" hidden="0" customWidth="1"/>
    <x:col min="4" max="4" width="25" hidden="0" customWidth="1"/>
    <x:col min="5" max="5" width="24" hidden="0" customWidth="1"/>
    <x:col min="6" max="6" width="28" hidden="0" customWidth="1"/>
  </x:cols>
  <x:sheetData>
    <x:row r="1">
      <x:c r="A1" s="109" t="str">
        <x:v>PartsBridge AD 0.3.7 — 已确认 C 编号导入清单</x:v>
      </x:c>
      <x:c r="B1" s="109"/>
      <x:c r="C1" s="109"/>
      <x:c r="D1" s="109"/>
      <x:c r="E1" s="109"/>
      <x:c r="F1" s="109"/>
    </x:row>
    <x:row r="2">
      <x:c r="A2" s="86" t="str">
        <x:v>真正导入时请选择同目录 GL30_DRV8316R_BENCH_V1_PartsBridge_Import.csv；该 CSV 只有第一列 lcsc，共 29 个唯一 C 号。C1 因源 CAD 畸形改为人工封装。</x:v>
      </x:c>
      <x:c r="B2" s="86"/>
      <x:c r="C2" s="86"/>
      <x:c r="D2" s="86"/>
      <x:c r="E2" s="86"/>
      <x:c r="F2" s="86"/>
    </x:row>
    <x:row r="3">
      <x:c r="A3" s="87"/>
      <x:c r="B3" s="87"/>
      <x:c r="C3" s="87"/>
      <x:c r="D3" s="87"/>
      <x:c r="E3" s="87"/>
      <x:c r="F3" s="87"/>
    </x:row>
    <x:row r="4">
      <x:c r="A4" s="88" t="str">
        <x:v>lcsc</x:v>
      </x:c>
      <x:c r="B4" s="88" t="str">
        <x:v>MPN</x:v>
      </x:c>
      <x:c r="C4" s="88" t="str">
        <x:v>制造商</x:v>
      </x:c>
      <x:c r="D4" s="88" t="str">
        <x:v>封装</x:v>
      </x:c>
      <x:c r="E4" s="88" t="str">
        <x:v>使用位号</x:v>
      </x:c>
      <x:c r="F4" s="88" t="str">
        <x:v>说明</x:v>
      </x:c>
    </x:row>
    <x:row r="5">
      <x:c r="A5" s="89" t="str">
        <x:v>C5218861</x:v>
      </x:c>
      <x:c r="B5" s="90" t="str">
        <x:v>DRV8316RRGFR</x:v>
      </x:c>
      <x:c r="C5" s="90" t="str">
        <x:v>Texas Instruments</x:v>
      </x:c>
      <x:c r="D5" s="90" t="str">
        <x:v>VQFN-40 5x7 mm, EP</x:v>
      </x:c>
      <x:c r="E5" s="90" t="str">
        <x:v>U1</x:v>
      </x:c>
      <x:c r="F5" s="110" t="str">
        <x:v>精确 C 号；TI RGF-40</x:v>
      </x:c>
    </x:row>
    <x:row r="6">
      <x:c r="A6" s="94" t="str">
        <x:v>C181596</x:v>
      </x:c>
      <x:c r="B6" s="95" t="str">
        <x:v>TLV1704AIPWR</x:v>
      </x:c>
      <x:c r="C6" s="95" t="str">
        <x:v>Texas Instruments</x:v>
      </x:c>
      <x:c r="D6" s="95" t="str">
        <x:v>TSSOP-14 (PW)</x:v>
      </x:c>
      <x:c r="E6" s="95" t="str">
        <x:v>U2,U3</x:v>
      </x:c>
      <x:c r="F6" s="111" t="str">
        <x:v>精确 C 号；TI PW-14</x:v>
      </x:c>
    </x:row>
    <x:row r="7">
      <x:c r="A7" s="94" t="str">
        <x:v>C142863</x:v>
      </x:c>
      <x:c r="B7" s="95" t="str">
        <x:v>0454003.MR</x:v>
      </x:c>
      <x:c r="C7" s="95" t="str">
        <x:v>Littelfuse</x:v>
      </x:c>
      <x:c r="D7" s="95" t="str">
        <x:v>2410 / 6125</x:v>
      </x:c>
      <x:c r="E7" s="95" t="str">
        <x:v>F1</x:v>
      </x:c>
      <x:c r="F7" s="111" t="str">
        <x:v>官方 452/454 曲线已核</x:v>
      </x:c>
    </x:row>
    <x:row r="8">
      <x:c r="A8" s="94" t="str">
        <x:v>C14651</x:v>
      </x:c>
      <x:c r="B8" s="95" t="str">
        <x:v>SS56B</x:v>
      </x:c>
      <x:c r="C8" s="95" t="str">
        <x:v>MDD</x:v>
      </x:c>
      <x:c r="D8" s="95" t="str">
        <x:v>SMB / DO-214AA</x:v>
      </x:c>
      <x:c r="E8" s="95" t="str">
        <x:v>D1</x:v>
      </x:c>
      <x:c r="F8" s="111" t="str">
        <x:v>精确 C 号；规格匹配</x:v>
      </x:c>
    </x:row>
    <x:row r="9">
      <x:c r="A9" s="94" t="str">
        <x:v>C151256</x:v>
      </x:c>
      <x:c r="B9" s="95" t="str">
        <x:v>SMBJ18A</x:v>
      </x:c>
      <x:c r="C9" s="95" t="str">
        <x:v>Littelfuse</x:v>
      </x:c>
      <x:c r="D9" s="95" t="str">
        <x:v>SMB / DO-214AA</x:v>
      </x:c>
      <x:c r="E9" s="95" t="str">
        <x:v>D2</x:v>
      </x:c>
      <x:c r="F9" s="111" t="str">
        <x:v>精确 C 号；规格匹配</x:v>
      </x:c>
    </x:row>
    <x:row r="10">
      <x:c r="A10" s="94" t="str">
        <x:v>C474952</x:v>
      </x:c>
      <x:c r="B10" s="95" t="str">
        <x:v>KF128-5.08-2P-AA</x:v>
      </x:c>
      <x:c r="C10" s="95" t="str">
        <x:v>KEFA</x:v>
      </x:c>
      <x:c r="D10" s="95" t="str">
        <x:v>THT, P=5.08 mm</x:v>
      </x:c>
      <x:c r="E10" s="95" t="str">
        <x:v>J1 (J_PWR)</x:v>
      </x:c>
      <x:c r="F10" s="111" t="str">
        <x:v>精确 5.08 mm</x:v>
      </x:c>
    </x:row>
    <x:row r="11">
      <x:c r="A11" s="94" t="str">
        <x:v>C474953</x:v>
      </x:c>
      <x:c r="B11" s="95" t="str">
        <x:v>KF128-5.08-3P-AA</x:v>
      </x:c>
      <x:c r="C11" s="95" t="str">
        <x:v>KEFA</x:v>
      </x:c>
      <x:c r="D11" s="95" t="str">
        <x:v>THT, P=5.08 mm</x:v>
      </x:c>
      <x:c r="E11" s="95" t="str">
        <x:v>J2 (J_MOTOR)</x:v>
      </x:c>
      <x:c r="F11" s="111" t="str">
        <x:v>精确 5.08 mm</x:v>
      </x:c>
    </x:row>
    <x:row r="12">
      <x:c r="A12" s="94" t="str">
        <x:v>C55118382</x:v>
      </x:c>
      <x:c r="B12" s="95" t="str">
        <x:v>LAIL-SI-2.54-2X10P-ZC</x:v>
      </x:c>
      <x:c r="C12" s="95" t="str">
        <x:v>LAILAN</x:v>
      </x:c>
      <x:c r="D12" s="95" t="str">
        <x:v>THT, 2×10, P=2.54 mm</x:v>
      </x:c>
      <x:c r="E12" s="95" t="str">
        <x:v>J3 (J_CTRL)</x:v>
      </x:c>
      <x:c r="F12" s="111" t="str">
        <x:v>规格与 20Pin 定义匹配</x:v>
      </x:c>
    </x:row>
    <x:row r="13">
      <x:c r="A13" s="94" t="str">
        <x:v>C77102</x:v>
      </x:c>
      <x:c r="B13" s="95" t="str">
        <x:v>GRM32ER71H106KA12L</x:v>
      </x:c>
      <x:c r="C13" s="95" t="str">
        <x:v>Murata</x:v>
      </x:c>
      <x:c r="D13" s="95" t="str">
        <x:v>1210</x:v>
      </x:c>
      <x:c r="E13" s="95" t="str">
        <x:v>C2</x:v>
      </x:c>
      <x:c r="F13" s="111" t="str">
        <x:v>精确 C 号；规格匹配</x:v>
      </x:c>
    </x:row>
    <x:row r="14">
      <x:c r="A14" s="94" t="str">
        <x:v>C28323</x:v>
      </x:c>
      <x:c r="B14" s="95" t="str">
        <x:v>CL21B105KBFNNNE</x:v>
      </x:c>
      <x:c r="C14" s="95" t="str">
        <x:v>Samsung</x:v>
      </x:c>
      <x:c r="D14" s="95" t="str">
        <x:v>0805</x:v>
      </x:c>
      <x:c r="E14" s="95" t="str">
        <x:v>C3,C23</x:v>
      </x:c>
      <x:c r="F14" s="111" t="str">
        <x:v>精确 C 号；规格匹配</x:v>
      </x:c>
    </x:row>
    <x:row r="15">
      <x:c r="A15" s="94" t="str">
        <x:v>C1591</x:v>
      </x:c>
      <x:c r="B15" s="95" t="str">
        <x:v>CL10B104KB8NNNC</x:v>
      </x:c>
      <x:c r="C15" s="95" t="str">
        <x:v>Samsung</x:v>
      </x:c>
      <x:c r="D15" s="95" t="str">
        <x:v>0603</x:v>
      </x:c>
      <x:c r="E15" s="95" t="str">
        <x:v>C4,C5,C6,C10,C12,C21,C22</x:v>
      </x:c>
      <x:c r="F15" s="111" t="str">
        <x:v>精确 C 号；规格匹配</x:v>
      </x:c>
    </x:row>
    <x:row r="16">
      <x:c r="A16" s="94" t="str">
        <x:v>C1622</x:v>
      </x:c>
      <x:c r="B16" s="95" t="str">
        <x:v>CL10B473KB8NNNC</x:v>
      </x:c>
      <x:c r="C16" s="95" t="str">
        <x:v>Samsung</x:v>
      </x:c>
      <x:c r="D16" s="95" t="str">
        <x:v>0603</x:v>
      </x:c>
      <x:c r="E16" s="95" t="str">
        <x:v>C7</x:v>
      </x:c>
      <x:c r="F16" s="111" t="str">
        <x:v>精确 C 号；规格匹配</x:v>
      </x:c>
    </x:row>
    <x:row r="17">
      <x:c r="A17" s="94" t="str">
        <x:v>C5673</x:v>
      </x:c>
      <x:c r="B17" s="95" t="str">
        <x:v>CL10A105KA8NNNC</x:v>
      </x:c>
      <x:c r="C17" s="95" t="str">
        <x:v>Samsung</x:v>
      </x:c>
      <x:c r="D17" s="95" t="str">
        <x:v>0603</x:v>
      </x:c>
      <x:c r="E17" s="95" t="str">
        <x:v>C8,C9</x:v>
      </x:c>
      <x:c r="F17" s="111" t="str">
        <x:v>精确 C 号；规格匹配</x:v>
      </x:c>
    </x:row>
    <x:row r="18">
      <x:c r="A18" s="94" t="str">
        <x:v>C45783</x:v>
      </x:c>
      <x:c r="B18" s="95" t="str">
        <x:v>CL21A226MAQNNNE</x:v>
      </x:c>
      <x:c r="C18" s="95" t="str">
        <x:v>Samsung</x:v>
      </x:c>
      <x:c r="D18" s="95" t="str">
        <x:v>0805</x:v>
      </x:c>
      <x:c r="E18" s="95" t="str">
        <x:v>C11</x:v>
      </x:c>
      <x:c r="F18" s="111" t="str">
        <x:v>精确 C 号；规格匹配</x:v>
      </x:c>
    </x:row>
    <x:row r="19">
      <x:c r="A19" s="94" t="str">
        <x:v>C107047</x:v>
      </x:c>
      <x:c r="B19" s="95" t="str">
        <x:v>CC0603JRNPO9BN330</x:v>
      </x:c>
      <x:c r="C19" s="95" t="str">
        <x:v>Yageo</x:v>
      </x:c>
      <x:c r="D19" s="95" t="str">
        <x:v>0603</x:v>
      </x:c>
      <x:c r="E19" s="95" t="str">
        <x:v>C13,C14,C15</x:v>
      </x:c>
      <x:c r="F19" s="111" t="str">
        <x:v>精确 C 号；规格匹配</x:v>
      </x:c>
    </x:row>
    <x:row r="20">
      <x:c r="A20" s="94" t="str">
        <x:v>C14665</x:v>
      </x:c>
      <x:c r="B20" s="95" t="str">
        <x:v>CC0603JRNPO9BN101</x:v>
      </x:c>
      <x:c r="C20" s="95" t="str">
        <x:v>Yageo</x:v>
      </x:c>
      <x:c r="D20" s="95" t="str">
        <x:v>0603</x:v>
      </x:c>
      <x:c r="E20" s="95" t="str">
        <x:v>C16,C17,C18</x:v>
      </x:c>
      <x:c r="F20" s="111" t="str">
        <x:v>精确 C 号；规格匹配</x:v>
      </x:c>
    </x:row>
    <x:row r="21">
      <x:c r="A21" s="94" t="str">
        <x:v>C100042</x:v>
      </x:c>
      <x:c r="B21" s="95" t="str">
        <x:v>CC0603KRX7R9BB103</x:v>
      </x:c>
      <x:c r="C21" s="95" t="str">
        <x:v>Yageo</x:v>
      </x:c>
      <x:c r="D21" s="95" t="str">
        <x:v>0603</x:v>
      </x:c>
      <x:c r="E21" s="95" t="str">
        <x:v>C19,C20,C26</x:v>
      </x:c>
      <x:c r="F21" s="111" t="str">
        <x:v>隔离库生成通过</x:v>
      </x:c>
    </x:row>
    <x:row r="22">
      <x:c r="A22" s="94" t="str">
        <x:v>C1588</x:v>
      </x:c>
      <x:c r="B22" s="95" t="str">
        <x:v>CL10B102KB8NNNC</x:v>
      </x:c>
      <x:c r="C22" s="95" t="str">
        <x:v>Samsung</x:v>
      </x:c>
      <x:c r="D22" s="95" t="str">
        <x:v>0603</x:v>
      </x:c>
      <x:c r="E22" s="95" t="str">
        <x:v>C24,C25</x:v>
      </x:c>
      <x:c r="F22" s="111" t="str">
        <x:v>隔离库生成通过</x:v>
      </x:c>
    </x:row>
    <x:row r="23">
      <x:c r="A23" s="94" t="str">
        <x:v>C23345</x:v>
      </x:c>
      <x:c r="B23" s="95" t="str">
        <x:v>0603WAF220JT5E</x:v>
      </x:c>
      <x:c r="C23" s="95" t="str">
        <x:v>UNI-ROYAL</x:v>
      </x:c>
      <x:c r="D23" s="95" t="str">
        <x:v>0603</x:v>
      </x:c>
      <x:c r="E23" s="95" t="str">
        <x:v>R1,R14,R15</x:v>
      </x:c>
      <x:c r="F23" s="111" t="str">
        <x:v>精确 C 号；规格匹配</x:v>
      </x:c>
    </x:row>
    <x:row r="24">
      <x:c r="A24" s="94" t="str">
        <x:v>C23182</x:v>
      </x:c>
      <x:c r="B24" s="95" t="str">
        <x:v>0603WAF470JT5E</x:v>
      </x:c>
      <x:c r="C24" s="95" t="str">
        <x:v>UNI-ROYAL</x:v>
      </x:c>
      <x:c r="D24" s="95" t="str">
        <x:v>0603</x:v>
      </x:c>
      <x:c r="E24" s="95" t="str">
        <x:v>R2-R7</x:v>
      </x:c>
      <x:c r="F24" s="111" t="str">
        <x:v>精确 C 号；规格匹配</x:v>
      </x:c>
    </x:row>
    <x:row r="25">
      <x:c r="A25" s="94" t="str">
        <x:v>C25803</x:v>
      </x:c>
      <x:c r="B25" s="95" t="str">
        <x:v>0603WAF1003T5E</x:v>
      </x:c>
      <x:c r="C25" s="95" t="str">
        <x:v>UNI-ROYAL</x:v>
      </x:c>
      <x:c r="D25" s="95" t="str">
        <x:v>0603</x:v>
      </x:c>
      <x:c r="E25" s="95" t="str">
        <x:v>R8-R13,R19</x:v>
      </x:c>
      <x:c r="F25" s="111" t="str">
        <x:v>精确 C 号；规格匹配</x:v>
      </x:c>
    </x:row>
    <x:row r="26">
      <x:c r="A26" s="94" t="str">
        <x:v>C25804</x:v>
      </x:c>
      <x:c r="B26" s="95" t="str">
        <x:v>0603WAF1002T5E</x:v>
      </x:c>
      <x:c r="C26" s="95" t="str">
        <x:v>UNI-ROYAL</x:v>
      </x:c>
      <x:c r="D26" s="95" t="str">
        <x:v>0603</x:v>
      </x:c>
      <x:c r="E26" s="95" t="str">
        <x:v>R16,R17,R18</x:v>
      </x:c>
      <x:c r="F26" s="111" t="str">
        <x:v>精确 C 号；规格匹配</x:v>
      </x:c>
    </x:row>
    <x:row r="27">
      <x:c r="A27" s="94" t="str">
        <x:v>C21189</x:v>
      </x:c>
      <x:c r="B27" s="95" t="str">
        <x:v>0603WAF0000T5E</x:v>
      </x:c>
      <x:c r="C27" s="95" t="str">
        <x:v>UNI-ROYAL</x:v>
      </x:c>
      <x:c r="D27" s="95" t="str">
        <x:v>0603</x:v>
      </x:c>
      <x:c r="E27" s="95" t="str">
        <x:v>R20-R22,R39</x:v>
      </x:c>
      <x:c r="F27" s="111" t="str">
        <x:v>精确 C 号；规格匹配</x:v>
      </x:c>
    </x:row>
    <x:row r="28">
      <x:c r="A28" s="94" t="str">
        <x:v>C21190</x:v>
      </x:c>
      <x:c r="B28" s="95" t="str">
        <x:v>0603WAF1001T5E</x:v>
      </x:c>
      <x:c r="C28" s="95" t="str">
        <x:v>UNI-ROYAL</x:v>
      </x:c>
      <x:c r="D28" s="95" t="str">
        <x:v>0603</x:v>
      </x:c>
      <x:c r="E28" s="95" t="str">
        <x:v>R23-R28,R36</x:v>
      </x:c>
      <x:c r="F28" s="111" t="str">
        <x:v>精确 C 号；规格匹配</x:v>
      </x:c>
    </x:row>
    <x:row r="29">
      <x:c r="A29" s="94" t="str">
        <x:v>C122538</x:v>
      </x:c>
      <x:c r="B29" s="95" t="str">
        <x:v>RT0603BRD07100KL</x:v>
      </x:c>
      <x:c r="C29" s="95" t="str">
        <x:v>Yageo</x:v>
      </x:c>
      <x:c r="D29" s="95" t="str">
        <x:v>0603</x:v>
      </x:c>
      <x:c r="E29" s="95" t="str">
        <x:v>R29,R32,R34,R38</x:v>
      </x:c>
      <x:c r="F29" s="111" t="str">
        <x:v>精确 C 号；规格匹配</x:v>
      </x:c>
    </x:row>
    <x:row r="30">
      <x:c r="A30" s="94" t="str">
        <x:v>C2692847</x:v>
      </x:c>
      <x:c r="B30" s="95" t="str">
        <x:v>PTFR0603B21K0N9</x:v>
      </x:c>
      <x:c r="C30" s="95" t="str">
        <x:v>RESI</x:v>
      </x:c>
      <x:c r="D30" s="95" t="str">
        <x:v>0603</x:v>
      </x:c>
      <x:c r="E30" s="95" t="str">
        <x:v>R30,R31</x:v>
      </x:c>
      <x:c r="F30" s="111" t="str">
        <x:v>精确阻值；高库存候选</x:v>
      </x:c>
    </x:row>
    <x:row r="31">
      <x:c r="A31" s="94" t="str">
        <x:v>C114662</x:v>
      </x:c>
      <x:c r="B31" s="95" t="str">
        <x:v>RC0603FR-072K2L</x:v>
      </x:c>
      <x:c r="C31" s="95" t="str">
        <x:v>Yageo</x:v>
      </x:c>
      <x:c r="D31" s="95" t="str">
        <x:v>0603</x:v>
      </x:c>
      <x:c r="E31" s="95" t="str">
        <x:v>R33</x:v>
      </x:c>
      <x:c r="F31" s="111" t="str">
        <x:v>隔离库生成通过</x:v>
      </x:c>
    </x:row>
    <x:row r="32">
      <x:c r="A32" s="94" t="str">
        <x:v>C844676</x:v>
      </x:c>
      <x:c r="B32" s="95" t="str">
        <x:v>TNPW060320K0BEEA</x:v>
      </x:c>
      <x:c r="C32" s="95" t="str">
        <x:v>Vishay</x:v>
      </x:c>
      <x:c r="D32" s="95" t="str">
        <x:v>0603</x:v>
      </x:c>
      <x:c r="E32" s="95" t="str">
        <x:v>R35</x:v>
      </x:c>
      <x:c r="F32" s="111" t="str">
        <x:v>隔离库生成通过</x:v>
      </x:c>
    </x:row>
    <x:row r="33">
      <x:c r="A33" s="112" t="str">
        <x:v>C855730</x:v>
      </x:c>
      <x:c r="B33" s="113" t="str">
        <x:v>AT0603BRD0723K7L</x:v>
      </x:c>
      <x:c r="C33" s="113" t="str">
        <x:v>Yageo</x:v>
      </x:c>
      <x:c r="D33" s="113" t="str">
        <x:v>0603</x:v>
      </x:c>
      <x:c r="E33" s="113" t="str">
        <x:v>R37</x:v>
      </x:c>
      <x:c r="F33" s="114" t="str">
        <x:v>精确阻值；库存偏低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11d3c0f6c0b1427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26" hidden="0" customWidth="1"/>
    <x:col min="4" max="4" width="8" hidden="0" customWidth="1"/>
    <x:col min="5" max="5" width="35" hidden="0" customWidth="1"/>
    <x:col min="6" max="6" width="48" hidden="0" customWidth="1"/>
    <x:col min="7" max="7" width="48" hidden="0" customWidth="1"/>
    <x:col min="8" max="8" width="36" hidden="0" customWidth="1"/>
  </x:cols>
  <x:sheetData>
    <x:row r="1">
      <x:c r="A1" s="109" t="str">
        <x:v>不经过 PartsBridge 的自建封装与 40 个测试点网名</x:v>
      </x:c>
      <x:c r="B1" s="109"/>
      <x:c r="C1" s="109"/>
      <x:c r="D1" s="109"/>
      <x:c r="E1" s="109"/>
      <x:c r="F1" s="109"/>
      <x:c r="G1" s="109"/>
      <x:c r="H1" s="109"/>
    </x:row>
    <x:row r="2">
      <x:c r="A2" s="83" t="str">
        <x:v>这些项目没有合适的采购 C 号：只需在 AD 中建立一次封装后复制；测试点用 0.8 mm 镀锡铜线做 U 形环。</x:v>
      </x:c>
      <x:c r="B2" s="83"/>
      <x:c r="C2" s="83"/>
      <x:c r="D2" s="83"/>
      <x:c r="E2" s="83"/>
      <x:c r="F2" s="83"/>
      <x:c r="G2" s="83"/>
      <x:c r="H2" s="83"/>
    </x:row>
    <x:row r="3">
      <x:c r="A3" s="87"/>
      <x:c r="B3" s="87"/>
      <x:c r="C3" s="87"/>
      <x:c r="D3" s="87"/>
      <x:c r="E3" s="87"/>
      <x:c r="F3" s="87"/>
      <x:c r="G3" s="87"/>
      <x:c r="H3" s="87"/>
    </x:row>
    <x:row r="4">
      <x:c r="A4" s="88" t="str">
        <x:v>类型</x:v>
      </x:c>
      <x:c r="B4" s="88" t="str">
        <x:v>位号</x:v>
      </x:c>
      <x:c r="C4" s="88" t="str">
        <x:v>网名/用途</x:v>
      </x:c>
      <x:c r="D4" s="88" t="str">
        <x:v>Qty</x:v>
      </x:c>
      <x:c r="E4" s="88" t="str">
        <x:v>建议封装名</x:v>
      </x:c>
      <x:c r="F4" s="88" t="str">
        <x:v>几何参数</x:v>
      </x:c>
      <x:c r="G4" s="88" t="str">
        <x:v>装配方法</x:v>
      </x:c>
      <x:c r="H4" s="88" t="str">
        <x:v>说明</x:v>
      </x:c>
    </x:row>
    <x:row r="5">
      <x:c r="A5" s="89" t="str">
        <x:v>采购件人工封装</x:v>
      </x:c>
      <x:c r="B5" s="90" t="str">
        <x:v>C1</x:v>
      </x:c>
      <x:c r="C5" s="90" t="str">
        <x:v>VM bulk</x:v>
      </x:c>
      <x:c r="D5" s="90" t="n">
        <x:v>1</x:v>
      </x:c>
      <x:c r="E5" s="90" t="str">
        <x:v>CP_Radial_D12.5_P5.0_D0.9_PAD1.8</x:v>
      </x:c>
      <x:c r="F5" s="90" t="str">
        <x:v>本体 Ø12.5 mm；引线距 5.0 mm；引线 Ø0.6 mm；成品孔 Ø0.9 mm；焊盘 Ø1.8 mm；标负极禁布区</x:v>
      </x:c>
      <x:c r="G5" s="90" t="str">
        <x:v>采购 EEUFR1H471 / C178708；核实长脚正极、套管负极条纹后插件</x:v>
      </x:c>
      <x:c r="H5" s="110" t="str">
        <x:v>PartsBridge 源 courtyard 为畸形 SOLIDREGION；为避免坏封装，C1 不进默认 CSV</x:v>
      </x:c>
    </x:row>
    <x:row r="6">
      <x:c r="A6" s="94" t="str">
        <x:v>焊桥</x:v>
      </x:c>
      <x:c r="B6" s="95" t="str">
        <x:v>SJ1</x:v>
      </x:c>
      <x:c r="C6" s="95" t="str">
        <x:v>SJ_WAKE</x:v>
      </x:c>
      <x:c r="D6" s="95" t="n">
        <x:v>1</x:v>
      </x:c>
      <x:c r="E6" s="95" t="str">
        <x:v>SJ_2PAD_P1.3_NC</x:v>
      </x:c>
      <x:c r="F6" s="95" t="str">
        <x:v>2×1.2×1.5 mm SMD pad；间隙 0.20 mm；顶层 0.25 mm 铜颈默认闭合；阻焊全开</x:v>
      </x:c>
      <x:c r="G6" s="95" t="str">
        <x:v>默认闭合；需要强制睡眠时断电后割开</x:v>
      </x:c>
      <x:c r="H6" s="111" t="str">
        <x:v>无商品件，不进 PartsBridge</x:v>
      </x:c>
    </x:row>
    <x:row r="7">
      <x:c r="A7" s="94" t="str">
        <x:v>安装孔</x:v>
      </x:c>
      <x:c r="B7" s="95" t="str">
        <x:v>H1-H4</x:v>
      </x:c>
      <x:c r="C7" s="95" t="str">
        <x:v>M3</x:v>
      </x:c>
      <x:c r="D7" s="95" t="n">
        <x:v>4</x:v>
      </x:c>
      <x:c r="E7" s="95" t="str">
        <x:v>M3_NPTH_3.2_KEEPOUT6.5</x:v>
      </x:c>
      <x:c r="F7" s="95" t="str">
        <x:v>Ø3.2 mm NPTH；所有铜层/走线/器件 keepout Ø6.5 mm</x:v>
      </x:c>
      <x:c r="G7" s="95" t="str">
        <x:v>孔边与板边、端子保持机械余量</x:v>
      </x:c>
      <x:c r="H7" s="111" t="str">
        <x:v>PCB 特征，不进 BOM 采购</x:v>
      </x:c>
    </x:row>
    <x:row r="8">
      <x:c r="A8" s="94" t="str">
        <x:v>测试线环</x:v>
      </x:c>
      <x:c r="B8" s="95" t="str">
        <x:v>TP1</x:v>
      </x:c>
      <x:c r="C8" s="95" t="str">
        <x:v>VM_RAW</x:v>
      </x:c>
      <x:c r="D8" s="95" t="n">
        <x:v>1</x:v>
      </x:c>
      <x:c r="E8" s="95" t="str">
        <x:v>TP_LOOP_PTH_2P_P2.54_D1.0_PAD2.0</x:v>
      </x:c>
      <x:c r="F8" s="95" t="str">
        <x:v>同网 2×PTH；孔 Ø1.0 mm；焊盘 Ø2.0 mm；中心距 2.54 mm</x:v>
      </x:c>
      <x:c r="G8" s="95" t="str">
        <x:v>插入 0.8 mm 镀锡铜线弯 U 环，露高约 5–7 mm 后手焊</x:v>
      </x:c>
      <x:c r="H8" s="111" t="str">
        <x:v>默认低成本方案；高 dv/dt 节点尽量短并远离模拟区</x:v>
      </x:c>
    </x:row>
    <x:row r="9">
      <x:c r="A9" s="94" t="str">
        <x:v>测试线环</x:v>
      </x:c>
      <x:c r="B9" s="95" t="str">
        <x:v>TP2</x:v>
      </x:c>
      <x:c r="C9" s="95" t="str">
        <x:v>VM</x:v>
      </x:c>
      <x:c r="D9" s="95" t="n">
        <x:v>1</x:v>
      </x:c>
      <x:c r="E9" s="95" t="str">
        <x:v>TP_LOOP_PTH_2P_P2.54_D1.0_PAD2.0</x:v>
      </x:c>
      <x:c r="F9" s="95" t="str">
        <x:v>同网 2×PTH；孔 Ø1.0 mm；焊盘 Ø2.0 mm；中心距 2.54 mm</x:v>
      </x:c>
      <x:c r="G9" s="95" t="str">
        <x:v>插入 0.8 mm 镀锡铜线弯 U 环，露高约 5–7 mm 后手焊</x:v>
      </x:c>
      <x:c r="H9" s="111" t="str">
        <x:v>默认低成本方案；高 dv/dt 节点尽量短并远离模拟区</x:v>
      </x:c>
    </x:row>
    <x:row r="10">
      <x:c r="A10" s="94" t="str">
        <x:v>测试线环</x:v>
      </x:c>
      <x:c r="B10" s="95" t="str">
        <x:v>TP3</x:v>
      </x:c>
      <x:c r="C10" s="95" t="str">
        <x:v>GND</x:v>
      </x:c>
      <x:c r="D10" s="95" t="n">
        <x:v>1</x:v>
      </x:c>
      <x:c r="E10" s="95" t="str">
        <x:v>TP_LOOP_PTH_2P_P2.54_D1.0_PAD2.0</x:v>
      </x:c>
      <x:c r="F10" s="95" t="str">
        <x:v>同网 2×PTH；孔 Ø1.0 mm；焊盘 Ø2.0 mm；中心距 2.54 mm</x:v>
      </x:c>
      <x:c r="G10" s="95" t="str">
        <x:v>插入 0.8 mm 镀锡铜线弯 U 环，露高约 5–7 mm 后手焊</x:v>
      </x:c>
      <x:c r="H10" s="111" t="str">
        <x:v>默认低成本方案；高 dv/dt 节点尽量短并远离模拟区</x:v>
      </x:c>
    </x:row>
    <x:row r="11">
      <x:c r="A11" s="94" t="str">
        <x:v>测试线环</x:v>
      </x:c>
      <x:c r="B11" s="95" t="str">
        <x:v>TP4</x:v>
      </x:c>
      <x:c r="C11" s="95" t="str">
        <x:v>3V3_CTRL</x:v>
      </x:c>
      <x:c r="D11" s="95" t="n">
        <x:v>1</x:v>
      </x:c>
      <x:c r="E11" s="95" t="str">
        <x:v>TP_LOOP_PTH_2P_P2.54_D1.0_PAD2.0</x:v>
      </x:c>
      <x:c r="F11" s="95" t="str">
        <x:v>同网 2×PTH；孔 Ø1.0 mm；焊盘 Ø2.0 mm；中心距 2.54 mm</x:v>
      </x:c>
      <x:c r="G11" s="95" t="str">
        <x:v>插入 0.8 mm 镀锡铜线弯 U 环，露高约 5–7 mm 后手焊</x:v>
      </x:c>
      <x:c r="H11" s="111" t="str">
        <x:v>默认低成本方案；高 dv/dt 节点尽量短并远离模拟区</x:v>
      </x:c>
    </x:row>
    <x:row r="12">
      <x:c r="A12" s="94" t="str">
        <x:v>测试线环</x:v>
      </x:c>
      <x:c r="B12" s="95" t="str">
        <x:v>TP5</x:v>
      </x:c>
      <x:c r="C12" s="95" t="str">
        <x:v>AVDD</x:v>
      </x:c>
      <x:c r="D12" s="95" t="n">
        <x:v>1</x:v>
      </x:c>
      <x:c r="E12" s="95" t="str">
        <x:v>TP_LOOP_PTH_2P_P2.54_D1.0_PAD2.0</x:v>
      </x:c>
      <x:c r="F12" s="95" t="str">
        <x:v>同网 2×PTH；孔 Ø1.0 mm；焊盘 Ø2.0 mm；中心距 2.54 mm</x:v>
      </x:c>
      <x:c r="G12" s="95" t="str">
        <x:v>插入 0.8 mm 镀锡铜线弯 U 环，露高约 5–7 mm 后手焊</x:v>
      </x:c>
      <x:c r="H12" s="111" t="str">
        <x:v>默认低成本方案；高 dv/dt 节点尽量短并远离模拟区</x:v>
      </x:c>
    </x:row>
    <x:row r="13">
      <x:c r="A13" s="94" t="str">
        <x:v>测试线环</x:v>
      </x:c>
      <x:c r="B13" s="95" t="str">
        <x:v>TP6</x:v>
      </x:c>
      <x:c r="C13" s="95" t="str">
        <x:v>VREF</x:v>
      </x:c>
      <x:c r="D13" s="95" t="n">
        <x:v>1</x:v>
      </x:c>
      <x:c r="E13" s="95" t="str">
        <x:v>TP_LOOP_PTH_2P_P2.54_D1.0_PAD2.0</x:v>
      </x:c>
      <x:c r="F13" s="95" t="str">
        <x:v>同网 2×PTH；孔 Ø1.0 mm；焊盘 Ø2.0 mm；中心距 2.54 mm</x:v>
      </x:c>
      <x:c r="G13" s="95" t="str">
        <x:v>插入 0.8 mm 镀锡铜线弯 U 环，露高约 5–7 mm 后手焊</x:v>
      </x:c>
      <x:c r="H13" s="111" t="str">
        <x:v>默认低成本方案；高 dv/dt 节点尽量短并远离模拟区</x:v>
      </x:c>
    </x:row>
    <x:row r="14">
      <x:c r="A14" s="94" t="str">
        <x:v>测试线环</x:v>
      </x:c>
      <x:c r="B14" s="95" t="str">
        <x:v>TP7</x:v>
      </x:c>
      <x:c r="C14" s="95" t="str">
        <x:v>CP</x:v>
      </x:c>
      <x:c r="D14" s="95" t="n">
        <x:v>1</x:v>
      </x:c>
      <x:c r="E14" s="95" t="str">
        <x:v>TP_LOOP_PTH_2P_P2.54_D1.0_PAD2.0</x:v>
      </x:c>
      <x:c r="F14" s="95" t="str">
        <x:v>同网 2×PTH；孔 Ø1.0 mm；焊盘 Ø2.0 mm；中心距 2.54 mm</x:v>
      </x:c>
      <x:c r="G14" s="95" t="str">
        <x:v>插入 0.8 mm 镀锡铜线弯 U 环，露高约 5–7 mm 后手焊</x:v>
      </x:c>
      <x:c r="H14" s="111" t="str">
        <x:v>默认低成本方案；高 dv/dt 节点尽量短并远离模拟区</x:v>
      </x:c>
    </x:row>
    <x:row r="15">
      <x:c r="A15" s="94" t="str">
        <x:v>测试线环</x:v>
      </x:c>
      <x:c r="B15" s="95" t="str">
        <x:v>TP8</x:v>
      </x:c>
      <x:c r="C15" s="95" t="str">
        <x:v>CPH</x:v>
      </x:c>
      <x:c r="D15" s="95" t="n">
        <x:v>1</x:v>
      </x:c>
      <x:c r="E15" s="95" t="str">
        <x:v>TP_LOOP_PTH_2P_P2.54_D1.0_PAD2.0</x:v>
      </x:c>
      <x:c r="F15" s="95" t="str">
        <x:v>同网 2×PTH；孔 Ø1.0 mm；焊盘 Ø2.0 mm；中心距 2.54 mm</x:v>
      </x:c>
      <x:c r="G15" s="95" t="str">
        <x:v>插入 0.8 mm 镀锡铜线弯 U 环，露高约 5–7 mm 后手焊</x:v>
      </x:c>
      <x:c r="H15" s="111" t="str">
        <x:v>默认低成本方案；高 dv/dt 节点尽量短并远离模拟区</x:v>
      </x:c>
    </x:row>
    <x:row r="16">
      <x:c r="A16" s="94" t="str">
        <x:v>测试线环</x:v>
      </x:c>
      <x:c r="B16" s="95" t="str">
        <x:v>TP9</x:v>
      </x:c>
      <x:c r="C16" s="95" t="str">
        <x:v>CPL</x:v>
      </x:c>
      <x:c r="D16" s="95" t="n">
        <x:v>1</x:v>
      </x:c>
      <x:c r="E16" s="95" t="str">
        <x:v>TP_LOOP_PTH_2P_P2.54_D1.0_PAD2.0</x:v>
      </x:c>
      <x:c r="F16" s="95" t="str">
        <x:v>同网 2×PTH；孔 Ø1.0 mm；焊盘 Ø2.0 mm；中心距 2.54 mm</x:v>
      </x:c>
      <x:c r="G16" s="95" t="str">
        <x:v>插入 0.8 mm 镀锡铜线弯 U 环，露高约 5–7 mm 后手焊</x:v>
      </x:c>
      <x:c r="H16" s="111" t="str">
        <x:v>默认低成本方案；高 dv/dt 节点尽量短并远离模拟区</x:v>
      </x:c>
    </x:row>
    <x:row r="17">
      <x:c r="A17" s="94" t="str">
        <x:v>测试线环</x:v>
      </x:c>
      <x:c r="B17" s="95" t="str">
        <x:v>TP10</x:v>
      </x:c>
      <x:c r="C17" s="95" t="str">
        <x:v>FB_BK</x:v>
      </x:c>
      <x:c r="D17" s="95" t="n">
        <x:v>1</x:v>
      </x:c>
      <x:c r="E17" s="95" t="str">
        <x:v>TP_LOOP_PTH_2P_P2.54_D1.0_PAD2.0</x:v>
      </x:c>
      <x:c r="F17" s="95" t="str">
        <x:v>同网 2×PTH；孔 Ø1.0 mm；焊盘 Ø2.0 mm；中心距 2.54 mm</x:v>
      </x:c>
      <x:c r="G17" s="95" t="str">
        <x:v>插入 0.8 mm 镀锡铜线弯 U 环，露高约 5–7 mm 后手焊</x:v>
      </x:c>
      <x:c r="H17" s="111" t="str">
        <x:v>默认低成本方案；高 dv/dt 节点尽量短并远离模拟区</x:v>
      </x:c>
    </x:row>
    <x:row r="18">
      <x:c r="A18" s="94" t="str">
        <x:v>测试线环</x:v>
      </x:c>
      <x:c r="B18" s="95" t="str">
        <x:v>TP11</x:v>
      </x:c>
      <x:c r="C18" s="95" t="str">
        <x:v>SW_BK</x:v>
      </x:c>
      <x:c r="D18" s="95" t="n">
        <x:v>1</x:v>
      </x:c>
      <x:c r="E18" s="95" t="str">
        <x:v>TP_LOOP_PTH_2P_P2.54_D1.0_PAD2.0</x:v>
      </x:c>
      <x:c r="F18" s="95" t="str">
        <x:v>同网 2×PTH；孔 Ø1.0 mm；焊盘 Ø2.0 mm；中心距 2.54 mm</x:v>
      </x:c>
      <x:c r="G18" s="95" t="str">
        <x:v>插入 0.8 mm 镀锡铜线弯 U 环，露高约 5–7 mm 后手焊</x:v>
      </x:c>
      <x:c r="H18" s="111" t="str">
        <x:v>默认低成本方案；高 dv/dt 节点尽量短并远离模拟区</x:v>
      </x:c>
    </x:row>
    <x:row r="19">
      <x:c r="A19" s="94" t="str">
        <x:v>测试线环</x:v>
      </x:c>
      <x:c r="B19" s="95" t="str">
        <x:v>TP12</x:v>
      </x:c>
      <x:c r="C19" s="95" t="str">
        <x:v>INHA_DRV</x:v>
      </x:c>
      <x:c r="D19" s="95" t="n">
        <x:v>1</x:v>
      </x:c>
      <x:c r="E19" s="95" t="str">
        <x:v>TP_LOOP_PTH_2P_P2.54_D1.0_PAD2.0</x:v>
      </x:c>
      <x:c r="F19" s="95" t="str">
        <x:v>同网 2×PTH；孔 Ø1.0 mm；焊盘 Ø2.0 mm；中心距 2.54 mm</x:v>
      </x:c>
      <x:c r="G19" s="95" t="str">
        <x:v>插入 0.8 mm 镀锡铜线弯 U 环，露高约 5–7 mm 后手焊</x:v>
      </x:c>
      <x:c r="H19" s="111" t="str">
        <x:v>默认低成本方案；高 dv/dt 节点尽量短并远离模拟区</x:v>
      </x:c>
    </x:row>
    <x:row r="20">
      <x:c r="A20" s="94" t="str">
        <x:v>测试线环</x:v>
      </x:c>
      <x:c r="B20" s="95" t="str">
        <x:v>TP13</x:v>
      </x:c>
      <x:c r="C20" s="95" t="str">
        <x:v>INLA_DRV</x:v>
      </x:c>
      <x:c r="D20" s="95" t="n">
        <x:v>1</x:v>
      </x:c>
      <x:c r="E20" s="95" t="str">
        <x:v>TP_LOOP_PTH_2P_P2.54_D1.0_PAD2.0</x:v>
      </x:c>
      <x:c r="F20" s="95" t="str">
        <x:v>同网 2×PTH；孔 Ø1.0 mm；焊盘 Ø2.0 mm；中心距 2.54 mm</x:v>
      </x:c>
      <x:c r="G20" s="95" t="str">
        <x:v>插入 0.8 mm 镀锡铜线弯 U 环，露高约 5–7 mm 后手焊</x:v>
      </x:c>
      <x:c r="H20" s="111" t="str">
        <x:v>默认低成本方案；高 dv/dt 节点尽量短并远离模拟区</x:v>
      </x:c>
    </x:row>
    <x:row r="21">
      <x:c r="A21" s="94" t="str">
        <x:v>测试线环</x:v>
      </x:c>
      <x:c r="B21" s="95" t="str">
        <x:v>TP14</x:v>
      </x:c>
      <x:c r="C21" s="95" t="str">
        <x:v>INHB_DRV</x:v>
      </x:c>
      <x:c r="D21" s="95" t="n">
        <x:v>1</x:v>
      </x:c>
      <x:c r="E21" s="95" t="str">
        <x:v>TP_LOOP_PTH_2P_P2.54_D1.0_PAD2.0</x:v>
      </x:c>
      <x:c r="F21" s="95" t="str">
        <x:v>同网 2×PTH；孔 Ø1.0 mm；焊盘 Ø2.0 mm；中心距 2.54 mm</x:v>
      </x:c>
      <x:c r="G21" s="95" t="str">
        <x:v>插入 0.8 mm 镀锡铜线弯 U 环，露高约 5–7 mm 后手焊</x:v>
      </x:c>
      <x:c r="H21" s="111" t="str">
        <x:v>默认低成本方案；高 dv/dt 节点尽量短并远离模拟区</x:v>
      </x:c>
    </x:row>
    <x:row r="22">
      <x:c r="A22" s="94" t="str">
        <x:v>测试线环</x:v>
      </x:c>
      <x:c r="B22" s="95" t="str">
        <x:v>TP15</x:v>
      </x:c>
      <x:c r="C22" s="95" t="str">
        <x:v>INLB_DRV</x:v>
      </x:c>
      <x:c r="D22" s="95" t="n">
        <x:v>1</x:v>
      </x:c>
      <x:c r="E22" s="95" t="str">
        <x:v>TP_LOOP_PTH_2P_P2.54_D1.0_PAD2.0</x:v>
      </x:c>
      <x:c r="F22" s="95" t="str">
        <x:v>同网 2×PTH；孔 Ø1.0 mm；焊盘 Ø2.0 mm；中心距 2.54 mm</x:v>
      </x:c>
      <x:c r="G22" s="95" t="str">
        <x:v>插入 0.8 mm 镀锡铜线弯 U 环，露高约 5–7 mm 后手焊</x:v>
      </x:c>
      <x:c r="H22" s="111" t="str">
        <x:v>默认低成本方案；高 dv/dt 节点尽量短并远离模拟区</x:v>
      </x:c>
    </x:row>
    <x:row r="23">
      <x:c r="A23" s="94" t="str">
        <x:v>测试线环</x:v>
      </x:c>
      <x:c r="B23" s="95" t="str">
        <x:v>TP16</x:v>
      </x:c>
      <x:c r="C23" s="95" t="str">
        <x:v>INHC_DRV</x:v>
      </x:c>
      <x:c r="D23" s="95" t="n">
        <x:v>1</x:v>
      </x:c>
      <x:c r="E23" s="95" t="str">
        <x:v>TP_LOOP_PTH_2P_P2.54_D1.0_PAD2.0</x:v>
      </x:c>
      <x:c r="F23" s="95" t="str">
        <x:v>同网 2×PTH；孔 Ø1.0 mm；焊盘 Ø2.0 mm；中心距 2.54 mm</x:v>
      </x:c>
      <x:c r="G23" s="95" t="str">
        <x:v>插入 0.8 mm 镀锡铜线弯 U 环，露高约 5–7 mm 后手焊</x:v>
      </x:c>
      <x:c r="H23" s="111" t="str">
        <x:v>默认低成本方案；高 dv/dt 节点尽量短并远离模拟区</x:v>
      </x:c>
    </x:row>
    <x:row r="24">
      <x:c r="A24" s="94" t="str">
        <x:v>测试线环</x:v>
      </x:c>
      <x:c r="B24" s="95" t="str">
        <x:v>TP17</x:v>
      </x:c>
      <x:c r="C24" s="95" t="str">
        <x:v>INLC_DRV</x:v>
      </x:c>
      <x:c r="D24" s="95" t="n">
        <x:v>1</x:v>
      </x:c>
      <x:c r="E24" s="95" t="str">
        <x:v>TP_LOOP_PTH_2P_P2.54_D1.0_PAD2.0</x:v>
      </x:c>
      <x:c r="F24" s="95" t="str">
        <x:v>同网 2×PTH；孔 Ø1.0 mm；焊盘 Ø2.0 mm；中心距 2.54 mm</x:v>
      </x:c>
      <x:c r="G24" s="95" t="str">
        <x:v>插入 0.8 mm 镀锡铜线弯 U 环，露高约 5–7 mm 后手焊</x:v>
      </x:c>
      <x:c r="H24" s="111" t="str">
        <x:v>默认低成本方案；高 dv/dt 节点尽量短并远离模拟区</x:v>
      </x:c>
    </x:row>
    <x:row r="25">
      <x:c r="A25" s="94" t="str">
        <x:v>测试线环</x:v>
      </x:c>
      <x:c r="B25" s="95" t="str">
        <x:v>TP18</x:v>
      </x:c>
      <x:c r="C25" s="95" t="str">
        <x:v>SCK_DRV</x:v>
      </x:c>
      <x:c r="D25" s="95" t="n">
        <x:v>1</x:v>
      </x:c>
      <x:c r="E25" s="95" t="str">
        <x:v>TP_LOOP_PTH_2P_P2.54_D1.0_PAD2.0</x:v>
      </x:c>
      <x:c r="F25" s="95" t="str">
        <x:v>同网 2×PTH；孔 Ø1.0 mm；焊盘 Ø2.0 mm；中心距 2.54 mm</x:v>
      </x:c>
      <x:c r="G25" s="95" t="str">
        <x:v>插入 0.8 mm 镀锡铜线弯 U 环，露高约 5–7 mm 后手焊</x:v>
      </x:c>
      <x:c r="H25" s="111" t="str">
        <x:v>默认低成本方案；高 dv/dt 节点尽量短并远离模拟区</x:v>
      </x:c>
    </x:row>
    <x:row r="26">
      <x:c r="A26" s="94" t="str">
        <x:v>测试线环</x:v>
      </x:c>
      <x:c r="B26" s="95" t="str">
        <x:v>TP19</x:v>
      </x:c>
      <x:c r="C26" s="95" t="str">
        <x:v>MOSI_DRV</x:v>
      </x:c>
      <x:c r="D26" s="95" t="n">
        <x:v>1</x:v>
      </x:c>
      <x:c r="E26" s="95" t="str">
        <x:v>TP_LOOP_PTH_2P_P2.54_D1.0_PAD2.0</x:v>
      </x:c>
      <x:c r="F26" s="95" t="str">
        <x:v>同网 2×PTH；孔 Ø1.0 mm；焊盘 Ø2.0 mm；中心距 2.54 mm</x:v>
      </x:c>
      <x:c r="G26" s="95" t="str">
        <x:v>插入 0.8 mm 镀锡铜线弯 U 环，露高约 5–7 mm 后手焊</x:v>
      </x:c>
      <x:c r="H26" s="111" t="str">
        <x:v>默认低成本方案；高 dv/dt 节点尽量短并远离模拟区</x:v>
      </x:c>
    </x:row>
    <x:row r="27">
      <x:c r="A27" s="94" t="str">
        <x:v>测试线环</x:v>
      </x:c>
      <x:c r="B27" s="95" t="str">
        <x:v>TP20</x:v>
      </x:c>
      <x:c r="C27" s="95" t="str">
        <x:v>CS_N</x:v>
      </x:c>
      <x:c r="D27" s="95" t="n">
        <x:v>1</x:v>
      </x:c>
      <x:c r="E27" s="95" t="str">
        <x:v>TP_LOOP_PTH_2P_P2.54_D1.0_PAD2.0</x:v>
      </x:c>
      <x:c r="F27" s="95" t="str">
        <x:v>同网 2×PTH；孔 Ø1.0 mm；焊盘 Ø2.0 mm；中心距 2.54 mm</x:v>
      </x:c>
      <x:c r="G27" s="95" t="str">
        <x:v>插入 0.8 mm 镀锡铜线弯 U 环，露高约 5–7 mm 后手焊</x:v>
      </x:c>
      <x:c r="H27" s="111" t="str">
        <x:v>默认低成本方案；高 dv/dt 节点尽量短并远离模拟区</x:v>
      </x:c>
    </x:row>
    <x:row r="28">
      <x:c r="A28" s="94" t="str">
        <x:v>测试线环</x:v>
      </x:c>
      <x:c r="B28" s="95" t="str">
        <x:v>TP21</x:v>
      </x:c>
      <x:c r="C28" s="95" t="str">
        <x:v>DRVOFF</x:v>
      </x:c>
      <x:c r="D28" s="95" t="n">
        <x:v>1</x:v>
      </x:c>
      <x:c r="E28" s="95" t="str">
        <x:v>TP_LOOP_PTH_2P_P2.54_D1.0_PAD2.0</x:v>
      </x:c>
      <x:c r="F28" s="95" t="str">
        <x:v>同网 2×PTH；孔 Ø1.0 mm；焊盘 Ø2.0 mm；中心距 2.54 mm</x:v>
      </x:c>
      <x:c r="G28" s="95" t="str">
        <x:v>插入 0.8 mm 镀锡铜线弯 U 环，露高约 5–7 mm 后手焊</x:v>
      </x:c>
      <x:c r="H28" s="111" t="str">
        <x:v>默认低成本方案；高 dv/dt 节点尽量短并远离模拟区</x:v>
      </x:c>
    </x:row>
    <x:row r="29">
      <x:c r="A29" s="94" t="str">
        <x:v>测试线环</x:v>
      </x:c>
      <x:c r="B29" s="95" t="str">
        <x:v>TP22</x:v>
      </x:c>
      <x:c r="C29" s="95" t="str">
        <x:v>nSLEEP</x:v>
      </x:c>
      <x:c r="D29" s="95" t="n">
        <x:v>1</x:v>
      </x:c>
      <x:c r="E29" s="95" t="str">
        <x:v>TP_LOOP_PTH_2P_P2.54_D1.0_PAD2.0</x:v>
      </x:c>
      <x:c r="F29" s="95" t="str">
        <x:v>同网 2×PTH；孔 Ø1.0 mm；焊盘 Ø2.0 mm；中心距 2.54 mm</x:v>
      </x:c>
      <x:c r="G29" s="95" t="str">
        <x:v>插入 0.8 mm 镀锡铜线弯 U 环，露高约 5–7 mm 后手焊</x:v>
      </x:c>
      <x:c r="H29" s="111" t="str">
        <x:v>默认低成本方案；高 dv/dt 节点尽量短并远离模拟区</x:v>
      </x:c>
    </x:row>
    <x:row r="30">
      <x:c r="A30" s="94" t="str">
        <x:v>测试线环</x:v>
      </x:c>
      <x:c r="B30" s="95" t="str">
        <x:v>TP23</x:v>
      </x:c>
      <x:c r="C30" s="95" t="str">
        <x:v>nFAULT/HARD_FAULT_N</x:v>
      </x:c>
      <x:c r="D30" s="95" t="n">
        <x:v>1</x:v>
      </x:c>
      <x:c r="E30" s="95" t="str">
        <x:v>TP_LOOP_PTH_2P_P2.54_D1.0_PAD2.0</x:v>
      </x:c>
      <x:c r="F30" s="95" t="str">
        <x:v>同网 2×PTH；孔 Ø1.0 mm；焊盘 Ø2.0 mm；中心距 2.54 mm</x:v>
      </x:c>
      <x:c r="G30" s="95" t="str">
        <x:v>插入 0.8 mm 镀锡铜线弯 U 环，露高约 5–7 mm 后手焊</x:v>
      </x:c>
      <x:c r="H30" s="111" t="str">
        <x:v>默认低成本方案；高 dv/dt 节点尽量短并远离模拟区</x:v>
      </x:c>
    </x:row>
    <x:row r="31">
      <x:c r="A31" s="94" t="str">
        <x:v>测试线环</x:v>
      </x:c>
      <x:c r="B31" s="95" t="str">
        <x:v>TP24</x:v>
      </x:c>
      <x:c r="C31" s="95" t="str">
        <x:v>SOA_RAW</x:v>
      </x:c>
      <x:c r="D31" s="95" t="n">
        <x:v>1</x:v>
      </x:c>
      <x:c r="E31" s="95" t="str">
        <x:v>TP_LOOP_PTH_2P_P2.54_D1.0_PAD2.0</x:v>
      </x:c>
      <x:c r="F31" s="95" t="str">
        <x:v>同网 2×PTH；孔 Ø1.0 mm；焊盘 Ø2.0 mm；中心距 2.54 mm</x:v>
      </x:c>
      <x:c r="G31" s="95" t="str">
        <x:v>插入 0.8 mm 镀锡铜线弯 U 环，露高约 5–7 mm 后手焊</x:v>
      </x:c>
      <x:c r="H31" s="111" t="str">
        <x:v>默认低成本方案；高 dv/dt 节点尽量短并远离模拟区</x:v>
      </x:c>
    </x:row>
    <x:row r="32">
      <x:c r="A32" s="94" t="str">
        <x:v>测试线环</x:v>
      </x:c>
      <x:c r="B32" s="95" t="str">
        <x:v>TP25</x:v>
      </x:c>
      <x:c r="C32" s="95" t="str">
        <x:v>SOB_RAW</x:v>
      </x:c>
      <x:c r="D32" s="95" t="n">
        <x:v>1</x:v>
      </x:c>
      <x:c r="E32" s="95" t="str">
        <x:v>TP_LOOP_PTH_2P_P2.54_D1.0_PAD2.0</x:v>
      </x:c>
      <x:c r="F32" s="95" t="str">
        <x:v>同网 2×PTH；孔 Ø1.0 mm；焊盘 Ø2.0 mm；中心距 2.54 mm</x:v>
      </x:c>
      <x:c r="G32" s="95" t="str">
        <x:v>插入 0.8 mm 镀锡铜线弯 U 环，露高约 5–7 mm 后手焊</x:v>
      </x:c>
      <x:c r="H32" s="111" t="str">
        <x:v>默认低成本方案；高 dv/dt 节点尽量短并远离模拟区</x:v>
      </x:c>
    </x:row>
    <x:row r="33">
      <x:c r="A33" s="94" t="str">
        <x:v>测试线环</x:v>
      </x:c>
      <x:c r="B33" s="95" t="str">
        <x:v>TP26</x:v>
      </x:c>
      <x:c r="C33" s="95" t="str">
        <x:v>SOC_RAW</x:v>
      </x:c>
      <x:c r="D33" s="95" t="n">
        <x:v>1</x:v>
      </x:c>
      <x:c r="E33" s="95" t="str">
        <x:v>TP_LOOP_PTH_2P_P2.54_D1.0_PAD2.0</x:v>
      </x:c>
      <x:c r="F33" s="95" t="str">
        <x:v>同网 2×PTH；孔 Ø1.0 mm；焊盘 Ø2.0 mm；中心距 2.54 mm</x:v>
      </x:c>
      <x:c r="G33" s="95" t="str">
        <x:v>插入 0.8 mm 镀锡铜线弯 U 环，露高约 5–7 mm 后手焊</x:v>
      </x:c>
      <x:c r="H33" s="111" t="str">
        <x:v>默认低成本方案；高 dv/dt 节点尽量短并远离模拟区</x:v>
      </x:c>
    </x:row>
    <x:row r="34">
      <x:c r="A34" s="94" t="str">
        <x:v>测试线环</x:v>
      </x:c>
      <x:c r="B34" s="95" t="str">
        <x:v>TP27</x:v>
      </x:c>
      <x:c r="C34" s="95" t="str">
        <x:v>SOA_FANOUT</x:v>
      </x:c>
      <x:c r="D34" s="95" t="n">
        <x:v>1</x:v>
      </x:c>
      <x:c r="E34" s="95" t="str">
        <x:v>TP_LOOP_PTH_2P_P2.54_D1.0_PAD2.0</x:v>
      </x:c>
      <x:c r="F34" s="95" t="str">
        <x:v>同网 2×PTH；孔 Ø1.0 mm；焊盘 Ø2.0 mm；中心距 2.54 mm</x:v>
      </x:c>
      <x:c r="G34" s="95" t="str">
        <x:v>插入 0.8 mm 镀锡铜线弯 U 环，露高约 5–7 mm 后手焊</x:v>
      </x:c>
      <x:c r="H34" s="111" t="str">
        <x:v>默认低成本方案；高 dv/dt 节点尽量短并远离模拟区</x:v>
      </x:c>
    </x:row>
    <x:row r="35">
      <x:c r="A35" s="94" t="str">
        <x:v>测试线环</x:v>
      </x:c>
      <x:c r="B35" s="95" t="str">
        <x:v>TP28</x:v>
      </x:c>
      <x:c r="C35" s="95" t="str">
        <x:v>SOB_FANOUT</x:v>
      </x:c>
      <x:c r="D35" s="95" t="n">
        <x:v>1</x:v>
      </x:c>
      <x:c r="E35" s="95" t="str">
        <x:v>TP_LOOP_PTH_2P_P2.54_D1.0_PAD2.0</x:v>
      </x:c>
      <x:c r="F35" s="95" t="str">
        <x:v>同网 2×PTH；孔 Ø1.0 mm；焊盘 Ø2.0 mm；中心距 2.54 mm</x:v>
      </x:c>
      <x:c r="G35" s="95" t="str">
        <x:v>插入 0.8 mm 镀锡铜线弯 U 环，露高约 5–7 mm 后手焊</x:v>
      </x:c>
      <x:c r="H35" s="111" t="str">
        <x:v>默认低成本方案；高 dv/dt 节点尽量短并远离模拟区</x:v>
      </x:c>
    </x:row>
    <x:row r="36">
      <x:c r="A36" s="94" t="str">
        <x:v>测试线环</x:v>
      </x:c>
      <x:c r="B36" s="95" t="str">
        <x:v>TP29</x:v>
      </x:c>
      <x:c r="C36" s="95" t="str">
        <x:v>SOC_FANOUT</x:v>
      </x:c>
      <x:c r="D36" s="95" t="n">
        <x:v>1</x:v>
      </x:c>
      <x:c r="E36" s="95" t="str">
        <x:v>TP_LOOP_PTH_2P_P2.54_D1.0_PAD2.0</x:v>
      </x:c>
      <x:c r="F36" s="95" t="str">
        <x:v>同网 2×PTH；孔 Ø1.0 mm；焊盘 Ø2.0 mm；中心距 2.54 mm</x:v>
      </x:c>
      <x:c r="G36" s="95" t="str">
        <x:v>插入 0.8 mm 镀锡铜线弯 U 环，露高约 5–7 mm 后手焊</x:v>
      </x:c>
      <x:c r="H36" s="111" t="str">
        <x:v>默认低成本方案；高 dv/dt 节点尽量短并远离模拟区</x:v>
      </x:c>
    </x:row>
    <x:row r="37">
      <x:c r="A37" s="94" t="str">
        <x:v>测试线环</x:v>
      </x:c>
      <x:c r="B37" s="95" t="str">
        <x:v>TP30</x:v>
      </x:c>
      <x:c r="C37" s="95" t="str">
        <x:v>SOA_ADC</x:v>
      </x:c>
      <x:c r="D37" s="95" t="n">
        <x:v>1</x:v>
      </x:c>
      <x:c r="E37" s="95" t="str">
        <x:v>TP_LOOP_PTH_2P_P2.54_D1.0_PAD2.0</x:v>
      </x:c>
      <x:c r="F37" s="95" t="str">
        <x:v>同网 2×PTH；孔 Ø1.0 mm；焊盘 Ø2.0 mm；中心距 2.54 mm</x:v>
      </x:c>
      <x:c r="G37" s="95" t="str">
        <x:v>插入 0.8 mm 镀锡铜线弯 U 环，露高约 5–7 mm 后手焊</x:v>
      </x:c>
      <x:c r="H37" s="111" t="str">
        <x:v>默认低成本方案；高 dv/dt 节点尽量短并远离模拟区</x:v>
      </x:c>
    </x:row>
    <x:row r="38">
      <x:c r="A38" s="94" t="str">
        <x:v>测试线环</x:v>
      </x:c>
      <x:c r="B38" s="95" t="str">
        <x:v>TP31</x:v>
      </x:c>
      <x:c r="C38" s="95" t="str">
        <x:v>SOB_ADC</x:v>
      </x:c>
      <x:c r="D38" s="95" t="n">
        <x:v>1</x:v>
      </x:c>
      <x:c r="E38" s="95" t="str">
        <x:v>TP_LOOP_PTH_2P_P2.54_D1.0_PAD2.0</x:v>
      </x:c>
      <x:c r="F38" s="95" t="str">
        <x:v>同网 2×PTH；孔 Ø1.0 mm；焊盘 Ø2.0 mm；中心距 2.54 mm</x:v>
      </x:c>
      <x:c r="G38" s="95" t="str">
        <x:v>插入 0.8 mm 镀锡铜线弯 U 环，露高约 5–7 mm 后手焊</x:v>
      </x:c>
      <x:c r="H38" s="111" t="str">
        <x:v>默认低成本方案；高 dv/dt 节点尽量短并远离模拟区</x:v>
      </x:c>
    </x:row>
    <x:row r="39">
      <x:c r="A39" s="94" t="str">
        <x:v>测试线环</x:v>
      </x:c>
      <x:c r="B39" s="95" t="str">
        <x:v>TP32</x:v>
      </x:c>
      <x:c r="C39" s="95" t="str">
        <x:v>SOC_ADC</x:v>
      </x:c>
      <x:c r="D39" s="95" t="n">
        <x:v>1</x:v>
      </x:c>
      <x:c r="E39" s="95" t="str">
        <x:v>TP_LOOP_PTH_2P_P2.54_D1.0_PAD2.0</x:v>
      </x:c>
      <x:c r="F39" s="95" t="str">
        <x:v>同网 2×PTH；孔 Ø1.0 mm；焊盘 Ø2.0 mm；中心距 2.54 mm</x:v>
      </x:c>
      <x:c r="G39" s="95" t="str">
        <x:v>插入 0.8 mm 镀锡铜线弯 U 环，露高约 5–7 mm 后手焊</x:v>
      </x:c>
      <x:c r="H39" s="111" t="str">
        <x:v>默认低成本方案；高 dv/dt 节点尽量短并远离模拟区</x:v>
      </x:c>
    </x:row>
    <x:row r="40">
      <x:c r="A40" s="94" t="str">
        <x:v>测试线环</x:v>
      </x:c>
      <x:c r="B40" s="95" t="str">
        <x:v>TP33</x:v>
      </x:c>
      <x:c r="C40" s="95" t="str">
        <x:v>V_LOW</x:v>
      </x:c>
      <x:c r="D40" s="95" t="n">
        <x:v>1</x:v>
      </x:c>
      <x:c r="E40" s="95" t="str">
        <x:v>TP_LOOP_PTH_2P_P2.54_D1.0_PAD2.0</x:v>
      </x:c>
      <x:c r="F40" s="95" t="str">
        <x:v>同网 2×PTH；孔 Ø1.0 mm；焊盘 Ø2.0 mm；中心距 2.54 mm</x:v>
      </x:c>
      <x:c r="G40" s="95" t="str">
        <x:v>插入 0.8 mm 镀锡铜线弯 U 环，露高约 5–7 mm 后手焊</x:v>
      </x:c>
      <x:c r="H40" s="111" t="str">
        <x:v>默认低成本方案；高 dv/dt 节点尽量短并远离模拟区</x:v>
      </x:c>
    </x:row>
    <x:row r="41">
      <x:c r="A41" s="94" t="str">
        <x:v>测试线环</x:v>
      </x:c>
      <x:c r="B41" s="95" t="str">
        <x:v>TP34</x:v>
      </x:c>
      <x:c r="C41" s="95" t="str">
        <x:v>V_HIGH</x:v>
      </x:c>
      <x:c r="D41" s="95" t="n">
        <x:v>1</x:v>
      </x:c>
      <x:c r="E41" s="95" t="str">
        <x:v>TP_LOOP_PTH_2P_P2.54_D1.0_PAD2.0</x:v>
      </x:c>
      <x:c r="F41" s="95" t="str">
        <x:v>同网 2×PTH；孔 Ø1.0 mm；焊盘 Ø2.0 mm；中心距 2.54 mm</x:v>
      </x:c>
      <x:c r="G41" s="95" t="str">
        <x:v>插入 0.8 mm 镀锡铜线弯 U 环，露高约 5–7 mm 后手焊</x:v>
      </x:c>
      <x:c r="H41" s="111" t="str">
        <x:v>默认低成本方案；高 dv/dt 节点尽量短并远离模拟区</x:v>
      </x:c>
    </x:row>
    <x:row r="42">
      <x:c r="A42" s="94" t="str">
        <x:v>测试线环</x:v>
      </x:c>
      <x:c r="B42" s="95" t="str">
        <x:v>TP35</x:v>
      </x:c>
      <x:c r="C42" s="95" t="str">
        <x:v>VBUS_DIV_RAW</x:v>
      </x:c>
      <x:c r="D42" s="95" t="n">
        <x:v>1</x:v>
      </x:c>
      <x:c r="E42" s="95" t="str">
        <x:v>TP_LOOP_PTH_2P_P2.54_D1.0_PAD2.0</x:v>
      </x:c>
      <x:c r="F42" s="95" t="str">
        <x:v>同网 2×PTH；孔 Ø1.0 mm；焊盘 Ø2.0 mm；中心距 2.54 mm</x:v>
      </x:c>
      <x:c r="G42" s="95" t="str">
        <x:v>插入 0.8 mm 镀锡铜线弯 U 环，露高约 5–7 mm 后手焊</x:v>
      </x:c>
      <x:c r="H42" s="111" t="str">
        <x:v>默认低成本方案；高 dv/dt 节点尽量短并远离模拟区</x:v>
      </x:c>
    </x:row>
    <x:row r="43">
      <x:c r="A43" s="94" t="str">
        <x:v>测试线环</x:v>
      </x:c>
      <x:c r="B43" s="95" t="str">
        <x:v>TP36</x:v>
      </x:c>
      <x:c r="C43" s="95" t="str">
        <x:v>VBUS_SENSE</x:v>
      </x:c>
      <x:c r="D43" s="95" t="n">
        <x:v>1</x:v>
      </x:c>
      <x:c r="E43" s="95" t="str">
        <x:v>TP_LOOP_PTH_2P_P2.54_D1.0_PAD2.0</x:v>
      </x:c>
      <x:c r="F43" s="95" t="str">
        <x:v>同网 2×PTH；孔 Ø1.0 mm；焊盘 Ø2.0 mm；中心距 2.54 mm</x:v>
      </x:c>
      <x:c r="G43" s="95" t="str">
        <x:v>插入 0.8 mm 镀锡铜线弯 U 环，露高约 5–7 mm 后手焊</x:v>
      </x:c>
      <x:c r="H43" s="111" t="str">
        <x:v>默认低成本方案；高 dv/dt 节点尽量短并远离模拟区</x:v>
      </x:c>
    </x:row>
    <x:row r="44">
      <x:c r="A44" s="94" t="str">
        <x:v>测试线环</x:v>
      </x:c>
      <x:c r="B44" s="95" t="str">
        <x:v>TP37</x:v>
      </x:c>
      <x:c r="C44" s="95" t="str">
        <x:v>VBUS_TRIP</x:v>
      </x:c>
      <x:c r="D44" s="95" t="n">
        <x:v>1</x:v>
      </x:c>
      <x:c r="E44" s="95" t="str">
        <x:v>TP_LOOP_PTH_2P_P2.54_D1.0_PAD2.0</x:v>
      </x:c>
      <x:c r="F44" s="95" t="str">
        <x:v>同网 2×PTH；孔 Ø1.0 mm；焊盘 Ø2.0 mm；中心距 2.54 mm</x:v>
      </x:c>
      <x:c r="G44" s="95" t="str">
        <x:v>插入 0.8 mm 镀锡铜线弯 U 环，露高约 5–7 mm 后手焊</x:v>
      </x:c>
      <x:c r="H44" s="111" t="str">
        <x:v>默认低成本方案；高 dv/dt 节点尽量短并远离模拟区</x:v>
      </x:c>
    </x:row>
    <x:row r="45">
      <x:c r="A45" s="94" t="str">
        <x:v>测试线环</x:v>
      </x:c>
      <x:c r="B45" s="95" t="str">
        <x:v>TP38</x:v>
      </x:c>
      <x:c r="C45" s="95" t="str">
        <x:v>OUTA</x:v>
      </x:c>
      <x:c r="D45" s="95" t="n">
        <x:v>1</x:v>
      </x:c>
      <x:c r="E45" s="95" t="str">
        <x:v>TP_LOOP_PTH_2P_P2.54_D1.0_PAD2.0</x:v>
      </x:c>
      <x:c r="F45" s="95" t="str">
        <x:v>同网 2×PTH；孔 Ø1.0 mm；焊盘 Ø2.0 mm；中心距 2.54 mm</x:v>
      </x:c>
      <x:c r="G45" s="95" t="str">
        <x:v>插入 0.8 mm 镀锡铜线弯 U 环，露高约 5–7 mm 后手焊</x:v>
      </x:c>
      <x:c r="H45" s="111" t="str">
        <x:v>默认低成本方案；高 dv/dt 节点尽量短并远离模拟区</x:v>
      </x:c>
    </x:row>
    <x:row r="46">
      <x:c r="A46" s="94" t="str">
        <x:v>测试线环</x:v>
      </x:c>
      <x:c r="B46" s="95" t="str">
        <x:v>TP39</x:v>
      </x:c>
      <x:c r="C46" s="95" t="str">
        <x:v>OUTB</x:v>
      </x:c>
      <x:c r="D46" s="95" t="n">
        <x:v>1</x:v>
      </x:c>
      <x:c r="E46" s="95" t="str">
        <x:v>TP_LOOP_PTH_2P_P2.54_D1.0_PAD2.0</x:v>
      </x:c>
      <x:c r="F46" s="95" t="str">
        <x:v>同网 2×PTH；孔 Ø1.0 mm；焊盘 Ø2.0 mm；中心距 2.54 mm</x:v>
      </x:c>
      <x:c r="G46" s="95" t="str">
        <x:v>插入 0.8 mm 镀锡铜线弯 U 环，露高约 5–7 mm 后手焊</x:v>
      </x:c>
      <x:c r="H46" s="111" t="str">
        <x:v>默认低成本方案；高 dv/dt 节点尽量短并远离模拟区</x:v>
      </x:c>
    </x:row>
    <x:row r="47">
      <x:c r="A47" s="112" t="str">
        <x:v>测试线环</x:v>
      </x:c>
      <x:c r="B47" s="113" t="str">
        <x:v>TP40</x:v>
      </x:c>
      <x:c r="C47" s="113" t="str">
        <x:v>OUTC</x:v>
      </x:c>
      <x:c r="D47" s="113" t="n">
        <x:v>1</x:v>
      </x:c>
      <x:c r="E47" s="113" t="str">
        <x:v>TP_LOOP_PTH_2P_P2.54_D1.0_PAD2.0</x:v>
      </x:c>
      <x:c r="F47" s="113" t="str">
        <x:v>同网 2×PTH；孔 Ø1.0 mm；焊盘 Ø2.0 mm；中心距 2.54 mm</x:v>
      </x:c>
      <x:c r="G47" s="113" t="str">
        <x:v>插入 0.8 mm 镀锡铜线弯 U 环，露高约 5–7 mm 后手焊</x:v>
      </x:c>
      <x:c r="H47" s="114" t="str">
        <x:v>默认低成本方案；高 dv/dt 节点尽量短并远离模拟区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6358ff3b3bfe4fe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52" hidden="0" customWidth="1"/>
    <x:col min="4" max="4" width="58" hidden="0" customWidth="1"/>
    <x:col min="5" max="5" width="48" hidden="0" customWidth="1"/>
  </x:cols>
  <x:sheetData>
    <x:row r="1">
      <x:c r="A1" s="109" t="str">
        <x:v>选型结论、PartsBridge 0.3.7 导入步骤与真实限制</x:v>
      </x:c>
      <x:c r="B1" s="109"/>
      <x:c r="C1" s="109"/>
      <x:c r="D1" s="109"/>
      <x:c r="E1" s="109"/>
    </x:row>
    <x:row r="2">
      <x:c r="A2" s="83" t="str">
        <x:v>默认参数已冻结到验证板首版；有实物后只调整电流窗口、VBUS 阈值、RC 和热设计，不重新发明代码/接口架构。</x:v>
      </x:c>
      <x:c r="B2" s="83"/>
      <x:c r="C2" s="83"/>
      <x:c r="D2" s="83"/>
      <x:c r="E2" s="83"/>
    </x:row>
    <x:row r="3">
      <x:c r="A3" s="87"/>
      <x:c r="B3" s="87"/>
      <x:c r="C3" s="87"/>
      <x:c r="D3" s="87"/>
      <x:c r="E3" s="87"/>
    </x:row>
    <x:row r="4">
      <x:c r="A4" s="88" t="str">
        <x:v>主题</x:v>
      </x:c>
      <x:c r="B4" s="88" t="str">
        <x:v>已冻结决定</x:v>
      </x:c>
      <x:c r="C4" s="88" t="str">
        <x:v>理由/证据</x:v>
      </x:c>
      <x:c r="D4" s="88" t="str">
        <x:v>你在 AD/采购时要做什么</x:v>
      </x:c>
      <x:c r="E4" s="88" t="str">
        <x:v>依据/链接</x:v>
      </x:c>
    </x:row>
    <x:row r="5">
      <x:c r="A5" s="89" t="str">
        <x:v>版本绑定</x:v>
      </x:c>
      <x:c r="B5" s="90" t="str">
        <x:v>只针对 PartsBridge AD 0.3.7</x:v>
      </x:c>
      <x:c r="C5" s="90" t="str">
        <x:v>已读取实际交付目录 README/WINDOWS_RELEASE；确认版本 0.3.7.0。</x:v>
      </x:c>
      <x:c r="D5" s="90" t="str">
        <x:v>使用 G:\Agent\deliverables\partsbridge-v0.3.7\PartsBridge-AD\PartsBridge-AD.exe</x:v>
      </x:c>
      <x:c r="E5" s="93" t="str">
        <x:v>本机交付包</x:v>
      </x:c>
    </x:row>
    <x:row r="6">
      <x:c r="A6" s="94" t="str">
        <x:v>CSV 规则</x:v>
      </x:c>
      <x:c r="B6" s="95" t="str">
        <x:v>默认导入文件仅一列 lcsc</x:v>
      </x:c>
      <x:c r="C6" s="95" t="str">
        <x:v>0.3.7 接受首列或 lcsc/product_code/code；UTF-8 BOM 可直接识别。</x:v>
      </x:c>
      <x:c r="D6" s="95" t="str">
        <x:v>在界面点击“导入已确认 C 编号 CSV”，选择本目录 *_PartsBridge_Import.csv。</x:v>
      </x:c>
      <x:c r="E6" s="98" t="str">
        <x:v>PartsBridge 0.3.7 README §批量 CSV</x:v>
      </x:c>
    </x:row>
    <x:row r="7">
      <x:c r="A7" s="94" t="str">
        <x:v>使用顺序</x:v>
      </x:c>
      <x:c r="B7" s="95" t="str">
        <x:v>导入→核对队列→追加到总库</x:v>
      </x:c>
      <x:c r="C7" s="95" t="str">
        <x:v>PartsBridge 只追加 LCSC.SchLib/LCSC.PcbLib，不会替你把器件放进原理图。</x:v>
      </x:c>
      <x:c r="D7" s="95" t="str">
        <x:v>先在 AD 保存并关闭两份库；PartsBridge 与 AD 使用相同权限；再点“追加到总库”。</x:v>
      </x:c>
      <x:c r="E7" s="98" t="str">
        <x:v>PartsBridge 0.3.7 README §最快开始</x:v>
      </x:c>
    </x:row>
    <x:row r="8">
      <x:c r="A8" s="94" t="str">
        <x:v>关键保护</x:v>
      </x:c>
      <x:c r="B8" s="95" t="str">
        <x:v>F1=0454003.MR / C142863</x:v>
      </x:c>
      <x:c r="C8" s="95" t="str">
        <x:v>官方 452/454 系列为 Slo-Blo；3 A 名义熔断 I²t=20.16 A²s（8 ms），能比快断件更耐浪涌。</x:v>
      </x:c>
      <x:c r="D8" s="95" t="str">
        <x:v>首板仍用限流电源缓升；不得把保险丝当半导体 OCP。</x:v>
      </x:c>
      <x:c r="E8" s="98" t="str">
        <x:v>https://www.littelfuse.com/assetdocs/fuse-452-and-454-datasheet?assetguid=8c87aa93-80a7-4ea8-8749-a19ba03901c2</x:v>
      </x:c>
    </x:row>
    <x:row r="9">
      <x:c r="A9" s="94" t="str">
        <x:v>关键 IC</x:v>
      </x:c>
      <x:c r="B9" s="95" t="str">
        <x:v>U2/U3 选 TLV1704AIPWR</x:v>
      </x:c>
      <x:c r="C9" s="95" t="str">
        <x:v>PWR 是卷带包装后缀；TI 同时列出 AIPW 与 AIPWR，均为 PW/TSSOP-14。</x:v>
      </x:c>
      <x:c r="D9" s="95" t="str">
        <x:v>原理图 Value 可写 TLV1704AIPW；采购 MPN/LCSC 用 TLV1704AIPWR/C181596。</x:v>
      </x:c>
      <x:c r="E9" s="98" t="str">
        <x:v>https://www.ti.com/product/TLV1704/part-details/TLV1704AIPWR</x:v>
      </x:c>
    </x:row>
    <x:row r="10">
      <x:c r="A10" s="94" t="str">
        <x:v>关键 IC</x:v>
      </x:c>
      <x:c r="B10" s="95" t="str">
        <x:v>U1=DRV8316RRGFR</x:v>
      </x:c>
      <x:c r="C10" s="95" t="str">
        <x:v>TI 确认为 RGF、VQFN-40、5×7 mm、0.5 mm pitch。</x:v>
      </x:c>
      <x:c r="D10" s="95" t="str">
        <x:v>PartsBridge 导入后仍按 TI datasheet 逐脚核符号、EP41、Pin1、钢网窗和热过孔。</x:v>
      </x:c>
      <x:c r="E10" s="98" t="str">
        <x:v>https://www.ti.com/lit/ds/symlink/drv8316.pdf</x:v>
      </x:c>
    </x:row>
    <x:row r="11">
      <x:c r="A11" s="94" t="str">
        <x:v>连接器</x:v>
      </x:c>
      <x:c r="B11" s="95" t="str">
        <x:v>J1/J2 固化为 KF128 5.08 mm</x:v>
      </x:c>
      <x:c r="C11" s="95" t="str">
        <x:v>不是近似 5.0 mm；24 A 额定为验证板留出接线和温升余量。</x:v>
      </x:c>
      <x:c r="D11" s="95" t="str">
        <x:v>按导入封装核 1 脚、开口朝板外和螺丝刀空间。</x:v>
      </x:c>
      <x:c r="E11" s="98" t="str">
        <x:v>C474952 / C474953</x:v>
      </x:c>
    </x:row>
    <x:row r="12">
      <x:c r="A12" s="94" t="str">
        <x:v>测试点</x:v>
      </x:c>
      <x:c r="B12" s="95" t="str">
        <x:v>40 个测试点默认自制 0.8 mm 镀锡线环</x:v>
      </x:c>
      <x:c r="C12" s="95" t="str">
        <x:v>商业 Keystone 5015/C2906768 单价约 ¥1.69，40 个约 ¥68 且挤占 70×55 mm 板面。</x:v>
      </x:c>
      <x:c r="D12" s="95" t="str">
        <x:v>按 Manual_Footprints 页建一个通用 PTH 线环封装，复制并逐一标网名。</x:v>
      </x:c>
      <x:c r="E12" s="98" t="str">
        <x:v>可选件 C2906768，不进入默认导入 CSV</x:v>
      </x:c>
    </x:row>
    <x:row r="13">
      <x:c r="A13" s="94" t="str">
        <x:v>人工封装</x:v>
      </x:c>
      <x:c r="B13" s="95" t="str">
        <x:v>C1 保留采购 C178708，但不进默认 CSV</x:v>
      </x:c>
      <x:c r="C13" s="95" t="str">
        <x:v>Panasonic 官方尺寸为 Ø12.5×20 mm、P=5.0 mm、引线 Ø0.6 mm；PartsBridge 源 CAD 的 courtyard 为畸形 SOLIDREGION。</x:v>
      </x:c>
      <x:c r="D13" s="95" t="str">
        <x:v>按 Manual_Footprints 页尺寸手建极性电解封装；不要换成自动导入的畸形封装。</x:v>
      </x:c>
      <x:c r="E13" s="98" t="str">
        <x:v>https://industrial.panasonic.com/ww/products/pt/aluminum-cap-lead/models/EEUFR1H471</x:v>
      </x:c>
    </x:row>
    <x:row r="14">
      <x:c r="A14" s="94" t="str">
        <x:v>精密分压</x:v>
      </x:c>
      <x:c r="B14" s="95" t="str">
        <x:v>R37 的 23.7 kΩ 库存偏低</x:v>
      </x:c>
      <x:c r="C14" s="95" t="str">
        <x:v>C855730 快照库存 93，足够首板但可能波动。</x:v>
      </x:c>
      <x:c r="D14" s="95" t="str">
        <x:v>下单前复查；缺货可用同值同封装 0.1% 的 C3919228，仍需在原理图和 BOM 同步替换。</x:v>
      </x:c>
      <x:c r="E14" s="98" t="str">
        <x:v>价格/库存快照 2026-08-30</x:v>
      </x:c>
    </x:row>
    <x:row r="15">
      <x:c r="A15" s="94" t="str">
        <x:v>编码器边界</x:v>
      </x:c>
      <x:c r="B15" s="95" t="str">
        <x:v>AS5048A 不在本验证子板 BOM</x:v>
      </x:c>
      <x:c r="C15" s="95" t="str">
        <x:v>本板验证 DRV8316R 功率级、CSA、比较器、VBUS 和控制头；电机内编码器通过主控侧单独接入。</x:v>
      </x:c>
      <x:c r="D15" s="95" t="str">
        <x:v>不要在本板上额外加 AS5048A 接口，避免改变当前已锁架构。</x:v>
      </x:c>
      <x:c r="E15" s="98" t="str">
        <x:v>SCHEMATIC_PCB_DRAWING_GUIDE_CN.md</x:v>
      </x:c>
    </x:row>
    <x:row r="16">
      <x:c r="A16" s="94" t="str">
        <x:v>成本口径</x:v>
      </x:c>
      <x:c r="B16" s="95" t="str">
        <x:v>装板物料合计不含 PCB/运费/税/工装</x:v>
      </x:c>
      <x:c r="C16" s="95" t="str">
        <x:v>测试点线环与安装孔按 0 元计；建议采购数只是备料建议，成本公式按每板实际数量。</x:v>
      </x:c>
      <x:c r="D16" s="95" t="str">
        <x:v>以 Line CNY 合计作为 1 块板的元器件快照估算。</x:v>
      </x:c>
      <x:c r="E16" s="98" t="str">
        <x:v>价格/库存快照 2026-08-30</x:v>
      </x:c>
    </x:row>
    <x:row r="17">
      <x:c r="A17" s="112" t="str">
        <x:v>本轮校验</x:v>
      </x:c>
      <x:c r="B17" s="113" t="str">
        <x:v>29/29 默认导入 C 号已在隔离临时库生成符号/封装；C1 因源 CAD courtyard 畸形改为人工封装</x:v>
      </x:c>
      <x:c r="C17" s="113" t="str">
        <x:v>结构校验与临时建库结果记录在这里；这不等于 Altium GUI 中已完成人工封装/引脚验收。</x:v>
      </x:c>
      <x:c r="D17" s="113" t="str">
        <x:v>最终仍要在 AD 中对每个关键器件执行 datasheet 复核。</x:v>
      </x:c>
      <x:c r="E17" s="115" t="str">
        <x:v>本地验证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b11903fe42074530"/>
  </x:tableParts>
</x:worksheet>
</file>